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2"/>
    <sheet name="Sheet2" sheetId="2" state="visible" r:id="rId3"/>
  </sheets>
  <definedNames>
    <definedName function="false" hidden="true" localSheetId="0" name="_xlnm._FilterDatabase" vbProcedure="false">Sheet1!$A$3:$N$153</definedName>
  </definedName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<sst xmlns="http://schemas.openxmlformats.org/spreadsheetml/2006/main" count="20" uniqueCount="20">
  <si>
    <t xml:space="preserve">This dataset is sklearn.datasets iris</t>
  </si>
  <si>
    <t xml:space="preserve">Pasted output from bst.predict(xgb.Dmatrix(X),output_margin=True)</t>
  </si>
  <si>
    <t xml:space="preserve">Pasted output from bst.predict(xgb.Dmatrix(X))</t>
  </si>
  <si>
    <t xml:space="preserve">Index</t>
  </si>
  <si>
    <t xml:space="preserve">f0</t>
  </si>
  <si>
    <t xml:space="preserve">f1</t>
  </si>
  <si>
    <t xml:space="preserve">f2</t>
  </si>
  <si>
    <t xml:space="preserve">f3</t>
  </si>
  <si>
    <t xml:space="preserve">Prediction0</t>
  </si>
  <si>
    <t xml:space="preserve">Prediction1</t>
  </si>
  <si>
    <t xml:space="preserve">Prediction2</t>
  </si>
  <si>
    <t xml:space="preserve">Error0</t>
  </si>
  <si>
    <t xml:space="preserve">Error1</t>
  </si>
  <si>
    <t xml:space="preserve">Error2</t>
  </si>
  <si>
    <t xml:space="preserve">exp0</t>
  </si>
  <si>
    <t xml:space="preserve">exp1</t>
  </si>
  <si>
    <t xml:space="preserve">exp2</t>
  </si>
  <si>
    <t xml:space="preserve">p0</t>
  </si>
  <si>
    <t xml:space="preserve">p1</t>
  </si>
  <si>
    <t xml:space="preserve">p2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</si>
</sst>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General"/>
    <numFmt numFmtId="166" formatCode="0.0%"/>
  </numFmts>
  <fonts count="5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0"/>
      <name val="Arial"/>
      <family val="2"/>
      <charset val="1"/>
    </font>
  </fonts>
  <fills count="2">
    <fill>
      <patternFill patternType="none"/>
    </fill>
    <fill>
      <patternFill patternType="gray125"/>
    </fill>
  </fills>
  <borders count="9">
    <border diagonalUp="false" diagonalDown="false">
      <left/>
      <right/>
      <top/>
      <bottom/>
      <diagonal/>
    </border>
    <border diagonalUp="false" diagonalDown="false">
      <left style="hair"/>
      <right/>
      <top style="hair"/>
      <bottom/>
      <diagonal/>
    </border>
    <border diagonalUp="false" diagonalDown="false">
      <left/>
      <right/>
      <top style="hair"/>
      <bottom/>
      <diagonal/>
    </border>
    <border diagonalUp="false" diagonalDown="false">
      <left/>
      <right style="hair"/>
      <top style="hair"/>
      <bottom/>
      <diagonal/>
    </border>
    <border diagonalUp="false" diagonalDown="false">
      <left style="hair"/>
      <right/>
      <top/>
      <bottom/>
      <diagonal/>
    </border>
    <border diagonalUp="false" diagonalDown="false">
      <left/>
      <right style="hair"/>
      <top/>
      <bottom/>
      <diagonal/>
    </border>
    <border diagonalUp="false" diagonalDown="false">
      <left style="hair"/>
      <right/>
      <top/>
      <bottom style="hair"/>
      <diagonal/>
    </border>
    <border diagonalUp="false" diagonalDown="false">
      <left/>
      <right/>
      <top/>
      <bottom style="hair"/>
      <diagonal/>
    </border>
    <border diagonalUp="false" diagonalDown="false">
      <left/>
      <right style="hair"/>
      <top/>
      <bottom style="hair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3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4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8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W153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Y23" activeCellId="0" sqref="Y23"/>
    </sheetView>
  </sheetViews>
  <sheetFormatPr defaultColWidth="11.55078125" defaultRowHeight="12.8" zeroHeight="false" outlineLevelRow="0" outlineLevelCol="0"/>
  <cols>
    <col collapsed="false" customWidth="true" hidden="false" outlineLevel="0" max="7" min="7" style="0" width="13.37"/>
  </cols>
  <sheetData>
    <row r="1" customFormat="false" ht="12.8" hidden="false" customHeight="false" outlineLevel="0" collapsed="false">
      <c r="A1" s="0" t="s">
        <v>0</v>
      </c>
      <c r="B1" s="1"/>
      <c r="C1" s="1"/>
      <c r="D1" s="1"/>
      <c r="E1" s="1"/>
    </row>
    <row r="2" customFormat="false" ht="12.8" hidden="false" customHeight="false" outlineLevel="0" collapsed="false">
      <c r="B2" s="1"/>
      <c r="C2" s="1"/>
      <c r="D2" s="1"/>
      <c r="E2" s="1"/>
      <c r="I2" s="0" t="s">
        <v>1</v>
      </c>
      <c r="U2" s="2" t="s">
        <v>2</v>
      </c>
    </row>
    <row r="3" customFormat="false" ht="12.8" hidden="false" customHeight="false" outlineLevel="0" collapsed="false">
      <c r="A3" s="2" t="s">
        <v>3</v>
      </c>
      <c r="B3" s="1" t="s">
        <v>4</v>
      </c>
      <c r="C3" s="1" t="s">
        <v>5</v>
      </c>
      <c r="D3" s="1" t="s">
        <v>6</v>
      </c>
      <c r="E3" s="1" t="s">
        <v>7</v>
      </c>
      <c r="F3" s="3" t="s">
        <v>8</v>
      </c>
      <c r="G3" s="4" t="s">
        <v>9</v>
      </c>
      <c r="H3" s="5" t="s">
        <v>10</v>
      </c>
      <c r="I3" s="2" t="n">
        <v>0</v>
      </c>
      <c r="J3" s="2" t="n">
        <v>1</v>
      </c>
      <c r="K3" s="2" t="n">
        <v>2</v>
      </c>
      <c r="L3" s="2" t="s">
        <v>11</v>
      </c>
      <c r="M3" s="2" t="s">
        <v>12</v>
      </c>
      <c r="N3" s="2" t="s">
        <v>13</v>
      </c>
      <c r="O3" s="0" t="s">
        <v>14</v>
      </c>
      <c r="P3" s="0" t="s">
        <v>15</v>
      </c>
      <c r="Q3" s="0" t="s">
        <v>16</v>
      </c>
      <c r="R3" s="0" t="s">
        <v>17</v>
      </c>
      <c r="S3" s="0" t="s">
        <v>18</v>
      </c>
      <c r="T3" s="0" t="s">
        <v>19</v>
      </c>
      <c r="U3" s="0" t="n">
        <v>0</v>
      </c>
      <c r="V3" s="0" t="n">
        <v>1</v>
      </c>
      <c r="W3" s="0" t="n">
        <v>2</v>
      </c>
    </row>
    <row r="4" customFormat="false" ht="12.8" hidden="false" customHeight="false" outlineLevel="0" collapsed="false">
      <c r="A4" s="0" t="n">
        <v>0</v>
      </c>
      <c r="B4" s="0" t="n">
        <v>5.1</v>
      </c>
      <c r="C4" s="0" t="n">
        <v>3.5</v>
      </c>
      <c r="D4" s="0" t="n">
        <v>1.4</v>
      </c>
      <c r="E4" s="0" t="n">
        <v>0.2</v>
      </c>
      <c r="F4" s="6" t="n">
        <f aca="false">XGB_PREDICT(B4,C4,D4,E4,0)+0.5</f>
        <v>2.9319070341</v>
      </c>
      <c r="G4" s="0" t="n">
        <f aca="false">XGB_PREDICT(B4,C4,D4,E4,1)+0.5</f>
        <v>-1.2777427283</v>
      </c>
      <c r="H4" s="7" t="n">
        <f aca="false">XGB_PREDICT(B4,C4,D4,E4,2)+0.5</f>
        <v>-1.4828291744</v>
      </c>
      <c r="I4" s="0" t="n">
        <v>2.9319067</v>
      </c>
      <c r="J4" s="0" t="n">
        <v>-1.2777429</v>
      </c>
      <c r="K4" s="0" t="n">
        <v>-1.4828291</v>
      </c>
      <c r="L4" s="8" t="n">
        <f aca="false">ABS(F4-I4)&gt;0.000001</f>
        <v>0</v>
      </c>
      <c r="M4" s="8" t="n">
        <f aca="false">ABS(G4-J4)&gt;0.000001</f>
        <v>0</v>
      </c>
      <c r="N4" s="8" t="n">
        <f aca="false">ABS(H4-K4)&gt;0.000001</f>
        <v>0</v>
      </c>
      <c r="O4" s="0" t="n">
        <f aca="false">EXP(F4)</f>
        <v>18.7633788024272</v>
      </c>
      <c r="P4" s="0" t="n">
        <f aca="false">EXP(G4)</f>
        <v>0.278665615054649</v>
      </c>
      <c r="Q4" s="0" t="n">
        <f aca="false">EXP(H4)</f>
        <v>0.226994571836769</v>
      </c>
      <c r="R4" s="9" t="n">
        <f aca="false">O4/SUM($O4:$Q4)</f>
        <v>0.973757892795187</v>
      </c>
      <c r="S4" s="9" t="n">
        <f aca="false">P4/SUM($O4:$Q4)</f>
        <v>0.01446183253919</v>
      </c>
      <c r="T4" s="9" t="n">
        <f aca="false">Q4/SUM($O4:$Q4)</f>
        <v>0.0117802746656228</v>
      </c>
      <c r="U4" s="9" t="n">
        <v>0.9737579</v>
      </c>
      <c r="V4" s="9" t="n">
        <v>0.014461836</v>
      </c>
      <c r="W4" s="9" t="n">
        <v>0.01178028</v>
      </c>
    </row>
    <row r="5" customFormat="false" ht="12.8" hidden="false" customHeight="false" outlineLevel="0" collapsed="false">
      <c r="A5" s="0" t="n">
        <v>1</v>
      </c>
      <c r="B5" s="0" t="n">
        <v>4.9</v>
      </c>
      <c r="C5" s="0" t="n">
        <v>3</v>
      </c>
      <c r="D5" s="0" t="n">
        <v>1.4</v>
      </c>
      <c r="E5" s="0" t="n">
        <v>0.2</v>
      </c>
      <c r="F5" s="6" t="n">
        <f aca="false">XGB_PREDICT(B5,C5,D5,E5,0)+0.5</f>
        <v>2.9319070341</v>
      </c>
      <c r="G5" s="0" t="n">
        <f aca="false">XGB_PREDICT(B5,C5,D5,E5,1)+0.5</f>
        <v>-1.3207281229</v>
      </c>
      <c r="H5" s="7" t="n">
        <f aca="false">XGB_PREDICT(B5,C5,D5,E5,2)+0.5</f>
        <v>-1.4828291744</v>
      </c>
      <c r="I5" s="0" t="n">
        <v>2.9319067</v>
      </c>
      <c r="J5" s="0" t="n">
        <v>-1.3207283</v>
      </c>
      <c r="K5" s="0" t="n">
        <v>-1.4828291</v>
      </c>
      <c r="L5" s="8" t="n">
        <f aca="false">ABS(F5-I5)&gt;0.000001</f>
        <v>0</v>
      </c>
      <c r="M5" s="8" t="n">
        <f aca="false">ABS(G5-J5)&gt;0.000001</f>
        <v>0</v>
      </c>
      <c r="N5" s="8" t="n">
        <f aca="false">ABS(H5-K5)&gt;0.000001</f>
        <v>0</v>
      </c>
      <c r="O5" s="0" t="n">
        <f aca="false">EXP(F5)</f>
        <v>18.7633788024272</v>
      </c>
      <c r="P5" s="0" t="n">
        <f aca="false">EXP(G5)</f>
        <v>0.266940865430528</v>
      </c>
      <c r="Q5" s="0" t="n">
        <f aca="false">EXP(H5)</f>
        <v>0.226994571836769</v>
      </c>
      <c r="R5" s="9" t="n">
        <f aca="false">O5/SUM($O5:$Q5)</f>
        <v>0.974350761943264</v>
      </c>
      <c r="S5" s="9" t="n">
        <f aca="false">P5/SUM($O5:$Q5)</f>
        <v>0.0138617910113494</v>
      </c>
      <c r="T5" s="9" t="n">
        <f aca="false">Q5/SUM($O5:$Q5)</f>
        <v>0.0117874470453866</v>
      </c>
      <c r="U5" s="9" t="n">
        <v>0.9743508</v>
      </c>
      <c r="V5" s="9" t="n">
        <v>0.013861794</v>
      </c>
      <c r="W5" s="9" t="n">
        <v>0.011787453</v>
      </c>
    </row>
    <row r="6" customFormat="false" ht="12.8" hidden="false" customHeight="false" outlineLevel="0" collapsed="false">
      <c r="A6" s="0" t="n">
        <v>2</v>
      </c>
      <c r="B6" s="0" t="n">
        <v>4.7</v>
      </c>
      <c r="C6" s="0" t="n">
        <v>3.2</v>
      </c>
      <c r="D6" s="0" t="n">
        <v>1.3</v>
      </c>
      <c r="E6" s="0" t="n">
        <v>0.2</v>
      </c>
      <c r="F6" s="6" t="n">
        <f aca="false">XGB_PREDICT(B6,C6,D6,E6,0)+0.5</f>
        <v>2.9319070341</v>
      </c>
      <c r="G6" s="0" t="n">
        <f aca="false">XGB_PREDICT(B6,C6,D6,E6,1)+0.5</f>
        <v>-1.3207281229</v>
      </c>
      <c r="H6" s="7" t="n">
        <f aca="false">XGB_PREDICT(B6,C6,D6,E6,2)+0.5</f>
        <v>-1.4828291744</v>
      </c>
      <c r="I6" s="0" t="n">
        <v>2.9319067</v>
      </c>
      <c r="J6" s="0" t="n">
        <v>-1.3207283</v>
      </c>
      <c r="K6" s="0" t="n">
        <v>-1.4828291</v>
      </c>
      <c r="L6" s="8" t="n">
        <f aca="false">ABS(F6-I6)&gt;0.000001</f>
        <v>0</v>
      </c>
      <c r="M6" s="8" t="n">
        <f aca="false">ABS(G6-J6)&gt;0.000001</f>
        <v>0</v>
      </c>
      <c r="N6" s="8" t="n">
        <f aca="false">ABS(H6-K6)&gt;0.000001</f>
        <v>0</v>
      </c>
      <c r="O6" s="0" t="n">
        <f aca="false">EXP(F6)</f>
        <v>18.7633788024272</v>
      </c>
      <c r="P6" s="0" t="n">
        <f aca="false">EXP(G6)</f>
        <v>0.266940865430528</v>
      </c>
      <c r="Q6" s="0" t="n">
        <f aca="false">EXP(H6)</f>
        <v>0.226994571836769</v>
      </c>
      <c r="R6" s="9" t="n">
        <f aca="false">O6/SUM($O6:$Q6)</f>
        <v>0.974350761943264</v>
      </c>
      <c r="S6" s="9" t="n">
        <f aca="false">P6/SUM($O6:$Q6)</f>
        <v>0.0138617910113494</v>
      </c>
      <c r="T6" s="9" t="n">
        <f aca="false">Q6/SUM($O6:$Q6)</f>
        <v>0.0117874470453866</v>
      </c>
      <c r="U6" s="9" t="n">
        <v>0.9743508</v>
      </c>
      <c r="V6" s="9" t="n">
        <v>0.013861794</v>
      </c>
      <c r="W6" s="9" t="n">
        <v>0.011787453</v>
      </c>
    </row>
    <row r="7" customFormat="false" ht="12.8" hidden="false" customHeight="false" outlineLevel="0" collapsed="false">
      <c r="A7" s="0" t="n">
        <v>3</v>
      </c>
      <c r="B7" s="0" t="n">
        <v>4.6</v>
      </c>
      <c r="C7" s="0" t="n">
        <v>3.1</v>
      </c>
      <c r="D7" s="0" t="n">
        <v>1.5</v>
      </c>
      <c r="E7" s="0" t="n">
        <v>0.2</v>
      </c>
      <c r="F7" s="6" t="n">
        <f aca="false">XGB_PREDICT(B7,C7,D7,E7,0)+0.5</f>
        <v>2.9319070341</v>
      </c>
      <c r="G7" s="0" t="n">
        <f aca="false">XGB_PREDICT(B7,C7,D7,E7,1)+0.5</f>
        <v>-1.3207281229</v>
      </c>
      <c r="H7" s="7" t="n">
        <f aca="false">XGB_PREDICT(B7,C7,D7,E7,2)+0.5</f>
        <v>-1.4828291744</v>
      </c>
      <c r="I7" s="0" t="n">
        <v>2.9319067</v>
      </c>
      <c r="J7" s="0" t="n">
        <v>-1.3207283</v>
      </c>
      <c r="K7" s="0" t="n">
        <v>-1.4828291</v>
      </c>
      <c r="L7" s="8" t="n">
        <f aca="false">ABS(F7-I7)&gt;0.000001</f>
        <v>0</v>
      </c>
      <c r="M7" s="8" t="n">
        <f aca="false">ABS(G7-J7)&gt;0.000001</f>
        <v>0</v>
      </c>
      <c r="N7" s="8" t="n">
        <f aca="false">ABS(H7-K7)&gt;0.000001</f>
        <v>0</v>
      </c>
      <c r="O7" s="0" t="n">
        <f aca="false">EXP(F7)</f>
        <v>18.7633788024272</v>
      </c>
      <c r="P7" s="0" t="n">
        <f aca="false">EXP(G7)</f>
        <v>0.266940865430528</v>
      </c>
      <c r="Q7" s="0" t="n">
        <f aca="false">EXP(H7)</f>
        <v>0.226994571836769</v>
      </c>
      <c r="R7" s="9" t="n">
        <f aca="false">O7/SUM($O7:$Q7)</f>
        <v>0.974350761943264</v>
      </c>
      <c r="S7" s="9" t="n">
        <f aca="false">P7/SUM($O7:$Q7)</f>
        <v>0.0138617910113494</v>
      </c>
      <c r="T7" s="9" t="n">
        <f aca="false">Q7/SUM($O7:$Q7)</f>
        <v>0.0117874470453866</v>
      </c>
      <c r="U7" s="9" t="n">
        <v>0.9743508</v>
      </c>
      <c r="V7" s="9" t="n">
        <v>0.013861794</v>
      </c>
      <c r="W7" s="9" t="n">
        <v>0.011787453</v>
      </c>
    </row>
    <row r="8" customFormat="false" ht="12.8" hidden="false" customHeight="false" outlineLevel="0" collapsed="false">
      <c r="A8" s="0" t="n">
        <v>4</v>
      </c>
      <c r="B8" s="0" t="n">
        <v>5</v>
      </c>
      <c r="C8" s="0" t="n">
        <v>3.6</v>
      </c>
      <c r="D8" s="0" t="n">
        <v>1.4</v>
      </c>
      <c r="E8" s="0" t="n">
        <v>0.2</v>
      </c>
      <c r="F8" s="6" t="n">
        <f aca="false">XGB_PREDICT(B8,C8,D8,E8,0)+0.5</f>
        <v>2.9319070341</v>
      </c>
      <c r="G8" s="0" t="n">
        <f aca="false">XGB_PREDICT(B8,C8,D8,E8,1)+0.5</f>
        <v>-1.2777427283</v>
      </c>
      <c r="H8" s="7" t="n">
        <f aca="false">XGB_PREDICT(B8,C8,D8,E8,2)+0.5</f>
        <v>-1.4828291744</v>
      </c>
      <c r="I8" s="0" t="n">
        <v>2.9319067</v>
      </c>
      <c r="J8" s="0" t="n">
        <v>-1.2777429</v>
      </c>
      <c r="K8" s="0" t="n">
        <v>-1.4828291</v>
      </c>
      <c r="L8" s="8" t="n">
        <f aca="false">ABS(F8-I8)&gt;0.000001</f>
        <v>0</v>
      </c>
      <c r="M8" s="8" t="n">
        <f aca="false">ABS(G8-J8)&gt;0.000001</f>
        <v>0</v>
      </c>
      <c r="N8" s="8" t="n">
        <f aca="false">ABS(H8-K8)&gt;0.000001</f>
        <v>0</v>
      </c>
      <c r="O8" s="0" t="n">
        <f aca="false">EXP(F8)</f>
        <v>18.7633788024272</v>
      </c>
      <c r="P8" s="0" t="n">
        <f aca="false">EXP(G8)</f>
        <v>0.278665615054649</v>
      </c>
      <c r="Q8" s="0" t="n">
        <f aca="false">EXP(H8)</f>
        <v>0.226994571836769</v>
      </c>
      <c r="R8" s="9" t="n">
        <f aca="false">O8/SUM($O8:$Q8)</f>
        <v>0.973757892795187</v>
      </c>
      <c r="S8" s="9" t="n">
        <f aca="false">P8/SUM($O8:$Q8)</f>
        <v>0.01446183253919</v>
      </c>
      <c r="T8" s="9" t="n">
        <f aca="false">Q8/SUM($O8:$Q8)</f>
        <v>0.0117802746656228</v>
      </c>
      <c r="U8" s="9" t="n">
        <v>0.9737579</v>
      </c>
      <c r="V8" s="9" t="n">
        <v>0.014461836</v>
      </c>
      <c r="W8" s="9" t="n">
        <v>0.01178028</v>
      </c>
    </row>
    <row r="9" customFormat="false" ht="12.8" hidden="false" customHeight="false" outlineLevel="0" collapsed="false">
      <c r="A9" s="0" t="n">
        <v>5</v>
      </c>
      <c r="B9" s="0" t="n">
        <v>5.4</v>
      </c>
      <c r="C9" s="0" t="n">
        <v>3.9</v>
      </c>
      <c r="D9" s="0" t="n">
        <v>1.7</v>
      </c>
      <c r="E9" s="0" t="n">
        <v>0.4</v>
      </c>
      <c r="F9" s="6" t="n">
        <f aca="false">XGB_PREDICT(B9,C9,D9,E9,0)+0.5</f>
        <v>2.9319070341</v>
      </c>
      <c r="G9" s="0" t="n">
        <f aca="false">XGB_PREDICT(B9,C9,D9,E9,1)+0.5</f>
        <v>-1.1670633105</v>
      </c>
      <c r="H9" s="7" t="n">
        <f aca="false">XGB_PREDICT(B9,C9,D9,E9,2)+0.5</f>
        <v>-1.4828291744</v>
      </c>
      <c r="I9" s="0" t="n">
        <v>2.9319067</v>
      </c>
      <c r="J9" s="0" t="n">
        <v>-1.1670634</v>
      </c>
      <c r="K9" s="0" t="n">
        <v>-1.4828291</v>
      </c>
      <c r="L9" s="8" t="n">
        <f aca="false">ABS(F9-I9)&gt;0.000001</f>
        <v>0</v>
      </c>
      <c r="M9" s="8" t="n">
        <f aca="false">ABS(G9-J9)&gt;0.000001</f>
        <v>0</v>
      </c>
      <c r="N9" s="8" t="n">
        <f aca="false">ABS(H9-K9)&gt;0.000001</f>
        <v>0</v>
      </c>
      <c r="O9" s="0" t="n">
        <f aca="false">EXP(F9)</f>
        <v>18.7633788024272</v>
      </c>
      <c r="P9" s="0" t="n">
        <f aca="false">EXP(G9)</f>
        <v>0.311279732238877</v>
      </c>
      <c r="Q9" s="0" t="n">
        <f aca="false">EXP(H9)</f>
        <v>0.226994571836769</v>
      </c>
      <c r="R9" s="9" t="n">
        <f aca="false">O9/SUM($O9:$Q9)</f>
        <v>0.972112528336016</v>
      </c>
      <c r="S9" s="9" t="n">
        <f aca="false">P9/SUM($O9:$Q9)</f>
        <v>0.016127102197998</v>
      </c>
      <c r="T9" s="9" t="n">
        <f aca="false">Q9/SUM($O9:$Q9)</f>
        <v>0.0117603694659859</v>
      </c>
      <c r="U9" s="9" t="n">
        <v>0.97211254</v>
      </c>
      <c r="V9" s="9" t="n">
        <v>0.01612711</v>
      </c>
      <c r="W9" s="9" t="n">
        <v>0.0117603745</v>
      </c>
    </row>
    <row r="10" customFormat="false" ht="12.8" hidden="false" customHeight="false" outlineLevel="0" collapsed="false">
      <c r="A10" s="0" t="n">
        <v>6</v>
      </c>
      <c r="B10" s="0" t="n">
        <v>4.6</v>
      </c>
      <c r="C10" s="0" t="n">
        <v>3.4</v>
      </c>
      <c r="D10" s="0" t="n">
        <v>1.4</v>
      </c>
      <c r="E10" s="0" t="n">
        <v>0.3</v>
      </c>
      <c r="F10" s="6" t="n">
        <f aca="false">XGB_PREDICT(B10,C10,D10,E10,0)+0.5</f>
        <v>2.9319070341</v>
      </c>
      <c r="G10" s="0" t="n">
        <f aca="false">XGB_PREDICT(B10,C10,D10,E10,1)+0.5</f>
        <v>-1.3207281229</v>
      </c>
      <c r="H10" s="7" t="n">
        <f aca="false">XGB_PREDICT(B10,C10,D10,E10,2)+0.5</f>
        <v>-1.4828291744</v>
      </c>
      <c r="I10" s="0" t="n">
        <v>2.9319067</v>
      </c>
      <c r="J10" s="0" t="n">
        <v>-1.3207283</v>
      </c>
      <c r="K10" s="0" t="n">
        <v>-1.4828291</v>
      </c>
      <c r="L10" s="8" t="n">
        <f aca="false">ABS(F10-I10)&gt;0.000001</f>
        <v>0</v>
      </c>
      <c r="M10" s="8" t="n">
        <f aca="false">ABS(G10-J10)&gt;0.000001</f>
        <v>0</v>
      </c>
      <c r="N10" s="8" t="n">
        <f aca="false">ABS(H10-K10)&gt;0.000001</f>
        <v>0</v>
      </c>
      <c r="O10" s="0" t="n">
        <f aca="false">EXP(F10)</f>
        <v>18.7633788024272</v>
      </c>
      <c r="P10" s="0" t="n">
        <f aca="false">EXP(G10)</f>
        <v>0.266940865430528</v>
      </c>
      <c r="Q10" s="0" t="n">
        <f aca="false">EXP(H10)</f>
        <v>0.226994571836769</v>
      </c>
      <c r="R10" s="9" t="n">
        <f aca="false">O10/SUM($O10:$Q10)</f>
        <v>0.974350761943264</v>
      </c>
      <c r="S10" s="9" t="n">
        <f aca="false">P10/SUM($O10:$Q10)</f>
        <v>0.0138617910113494</v>
      </c>
      <c r="T10" s="9" t="n">
        <f aca="false">Q10/SUM($O10:$Q10)</f>
        <v>0.0117874470453866</v>
      </c>
      <c r="U10" s="9" t="n">
        <v>0.9743508</v>
      </c>
      <c r="V10" s="9" t="n">
        <v>0.013861794</v>
      </c>
      <c r="W10" s="9" t="n">
        <v>0.011787453</v>
      </c>
    </row>
    <row r="11" customFormat="false" ht="12.8" hidden="false" customHeight="false" outlineLevel="0" collapsed="false">
      <c r="A11" s="0" t="n">
        <v>7</v>
      </c>
      <c r="B11" s="0" t="n">
        <v>5</v>
      </c>
      <c r="C11" s="0" t="n">
        <v>3.4</v>
      </c>
      <c r="D11" s="0" t="n">
        <v>1.5</v>
      </c>
      <c r="E11" s="0" t="n">
        <v>0.2</v>
      </c>
      <c r="F11" s="6" t="n">
        <f aca="false">XGB_PREDICT(B11,C11,D11,E11,0)+0.5</f>
        <v>2.9319070341</v>
      </c>
      <c r="G11" s="0" t="n">
        <f aca="false">XGB_PREDICT(B11,C11,D11,E11,1)+0.5</f>
        <v>-1.2777427283</v>
      </c>
      <c r="H11" s="7" t="n">
        <f aca="false">XGB_PREDICT(B11,C11,D11,E11,2)+0.5</f>
        <v>-1.4828291744</v>
      </c>
      <c r="I11" s="0" t="n">
        <v>2.9319067</v>
      </c>
      <c r="J11" s="0" t="n">
        <v>-1.2777429</v>
      </c>
      <c r="K11" s="0" t="n">
        <v>-1.4828291</v>
      </c>
      <c r="L11" s="8" t="n">
        <f aca="false">ABS(F11-I11)&gt;0.000001</f>
        <v>0</v>
      </c>
      <c r="M11" s="8" t="n">
        <f aca="false">ABS(G11-J11)&gt;0.000001</f>
        <v>0</v>
      </c>
      <c r="N11" s="8" t="n">
        <f aca="false">ABS(H11-K11)&gt;0.000001</f>
        <v>0</v>
      </c>
      <c r="O11" s="0" t="n">
        <f aca="false">EXP(F11)</f>
        <v>18.7633788024272</v>
      </c>
      <c r="P11" s="0" t="n">
        <f aca="false">EXP(G11)</f>
        <v>0.278665615054649</v>
      </c>
      <c r="Q11" s="0" t="n">
        <f aca="false">EXP(H11)</f>
        <v>0.226994571836769</v>
      </c>
      <c r="R11" s="9" t="n">
        <f aca="false">O11/SUM($O11:$Q11)</f>
        <v>0.973757892795187</v>
      </c>
      <c r="S11" s="9" t="n">
        <f aca="false">P11/SUM($O11:$Q11)</f>
        <v>0.01446183253919</v>
      </c>
      <c r="T11" s="9" t="n">
        <f aca="false">Q11/SUM($O11:$Q11)</f>
        <v>0.0117802746656228</v>
      </c>
      <c r="U11" s="9" t="n">
        <v>0.9737579</v>
      </c>
      <c r="V11" s="9" t="n">
        <v>0.014461836</v>
      </c>
      <c r="W11" s="9" t="n">
        <v>0.01178028</v>
      </c>
    </row>
    <row r="12" customFormat="false" ht="12.8" hidden="false" customHeight="false" outlineLevel="0" collapsed="false">
      <c r="A12" s="0" t="n">
        <v>8</v>
      </c>
      <c r="B12" s="0" t="n">
        <v>4.4</v>
      </c>
      <c r="C12" s="0" t="n">
        <v>2.9</v>
      </c>
      <c r="D12" s="0" t="n">
        <v>1.4</v>
      </c>
      <c r="E12" s="0" t="n">
        <v>0.2</v>
      </c>
      <c r="F12" s="6" t="n">
        <f aca="false">XGB_PREDICT(B12,C12,D12,E12,0)+0.5</f>
        <v>2.9319070341</v>
      </c>
      <c r="G12" s="0" t="n">
        <f aca="false">XGB_PREDICT(B12,C12,D12,E12,1)+0.5</f>
        <v>-1.3207281229</v>
      </c>
      <c r="H12" s="7" t="n">
        <f aca="false">XGB_PREDICT(B12,C12,D12,E12,2)+0.5</f>
        <v>-1.4828291744</v>
      </c>
      <c r="I12" s="0" t="n">
        <v>2.9319067</v>
      </c>
      <c r="J12" s="0" t="n">
        <v>-1.3207283</v>
      </c>
      <c r="K12" s="0" t="n">
        <v>-1.4828291</v>
      </c>
      <c r="L12" s="8" t="n">
        <f aca="false">ABS(F12-I12)&gt;0.000001</f>
        <v>0</v>
      </c>
      <c r="M12" s="8" t="n">
        <f aca="false">ABS(G12-J12)&gt;0.000001</f>
        <v>0</v>
      </c>
      <c r="N12" s="8" t="n">
        <f aca="false">ABS(H12-K12)&gt;0.000001</f>
        <v>0</v>
      </c>
      <c r="O12" s="0" t="n">
        <f aca="false">EXP(F12)</f>
        <v>18.7633788024272</v>
      </c>
      <c r="P12" s="0" t="n">
        <f aca="false">EXP(G12)</f>
        <v>0.266940865430528</v>
      </c>
      <c r="Q12" s="0" t="n">
        <f aca="false">EXP(H12)</f>
        <v>0.226994571836769</v>
      </c>
      <c r="R12" s="9" t="n">
        <f aca="false">O12/SUM($O12:$Q12)</f>
        <v>0.974350761943264</v>
      </c>
      <c r="S12" s="9" t="n">
        <f aca="false">P12/SUM($O12:$Q12)</f>
        <v>0.0138617910113494</v>
      </c>
      <c r="T12" s="9" t="n">
        <f aca="false">Q12/SUM($O12:$Q12)</f>
        <v>0.0117874470453866</v>
      </c>
      <c r="U12" s="9" t="n">
        <v>0.9743508</v>
      </c>
      <c r="V12" s="9" t="n">
        <v>0.013861794</v>
      </c>
      <c r="W12" s="9" t="n">
        <v>0.011787453</v>
      </c>
    </row>
    <row r="13" customFormat="false" ht="12.8" hidden="false" customHeight="false" outlineLevel="0" collapsed="false">
      <c r="A13" s="0" t="n">
        <v>9</v>
      </c>
      <c r="B13" s="0" t="n">
        <v>4.9</v>
      </c>
      <c r="C13" s="0" t="n">
        <v>3.1</v>
      </c>
      <c r="D13" s="0" t="n">
        <v>1.5</v>
      </c>
      <c r="E13" s="0" t="n">
        <v>0.1</v>
      </c>
      <c r="F13" s="6" t="n">
        <f aca="false">XGB_PREDICT(B13,C13,D13,E13,0)+0.5</f>
        <v>2.9319070341</v>
      </c>
      <c r="G13" s="0" t="n">
        <f aca="false">XGB_PREDICT(B13,C13,D13,E13,1)+0.5</f>
        <v>-1.3207281229</v>
      </c>
      <c r="H13" s="7" t="n">
        <f aca="false">XGB_PREDICT(B13,C13,D13,E13,2)+0.5</f>
        <v>-1.4828291744</v>
      </c>
      <c r="I13" s="0" t="n">
        <v>2.9319067</v>
      </c>
      <c r="J13" s="0" t="n">
        <v>-1.3207283</v>
      </c>
      <c r="K13" s="0" t="n">
        <v>-1.4828291</v>
      </c>
      <c r="L13" s="8" t="n">
        <f aca="false">ABS(F13-I13)&gt;0.000001</f>
        <v>0</v>
      </c>
      <c r="M13" s="8" t="n">
        <f aca="false">ABS(G13-J13)&gt;0.000001</f>
        <v>0</v>
      </c>
      <c r="N13" s="8" t="n">
        <f aca="false">ABS(H13-K13)&gt;0.000001</f>
        <v>0</v>
      </c>
      <c r="O13" s="0" t="n">
        <f aca="false">EXP(F13)</f>
        <v>18.7633788024272</v>
      </c>
      <c r="P13" s="0" t="n">
        <f aca="false">EXP(G13)</f>
        <v>0.266940865430528</v>
      </c>
      <c r="Q13" s="0" t="n">
        <f aca="false">EXP(H13)</f>
        <v>0.226994571836769</v>
      </c>
      <c r="R13" s="9" t="n">
        <f aca="false">O13/SUM($O13:$Q13)</f>
        <v>0.974350761943264</v>
      </c>
      <c r="S13" s="9" t="n">
        <f aca="false">P13/SUM($O13:$Q13)</f>
        <v>0.0138617910113494</v>
      </c>
      <c r="T13" s="9" t="n">
        <f aca="false">Q13/SUM($O13:$Q13)</f>
        <v>0.0117874470453866</v>
      </c>
      <c r="U13" s="9" t="n">
        <v>0.9743508</v>
      </c>
      <c r="V13" s="9" t="n">
        <v>0.013861794</v>
      </c>
      <c r="W13" s="9" t="n">
        <v>0.011787453</v>
      </c>
    </row>
    <row r="14" customFormat="false" ht="12.8" hidden="false" customHeight="false" outlineLevel="0" collapsed="false">
      <c r="A14" s="0" t="n">
        <v>10</v>
      </c>
      <c r="B14" s="0" t="n">
        <v>5.4</v>
      </c>
      <c r="C14" s="0" t="n">
        <v>3.7</v>
      </c>
      <c r="D14" s="0" t="n">
        <v>1.5</v>
      </c>
      <c r="E14" s="0" t="n">
        <v>0.2</v>
      </c>
      <c r="F14" s="6" t="n">
        <f aca="false">XGB_PREDICT(B14,C14,D14,E14,0)+0.5</f>
        <v>2.9319070341</v>
      </c>
      <c r="G14" s="0" t="n">
        <f aca="false">XGB_PREDICT(B14,C14,D14,E14,1)+0.5</f>
        <v>-1.1670633105</v>
      </c>
      <c r="H14" s="7" t="n">
        <f aca="false">XGB_PREDICT(B14,C14,D14,E14,2)+0.5</f>
        <v>-1.4828291744</v>
      </c>
      <c r="I14" s="0" t="n">
        <v>2.9319067</v>
      </c>
      <c r="J14" s="0" t="n">
        <v>-1.1670634</v>
      </c>
      <c r="K14" s="0" t="n">
        <v>-1.4828291</v>
      </c>
      <c r="L14" s="8" t="n">
        <f aca="false">ABS(F14-I14)&gt;0.000001</f>
        <v>0</v>
      </c>
      <c r="M14" s="8" t="n">
        <f aca="false">ABS(G14-J14)&gt;0.000001</f>
        <v>0</v>
      </c>
      <c r="N14" s="8" t="n">
        <f aca="false">ABS(H14-K14)&gt;0.000001</f>
        <v>0</v>
      </c>
      <c r="O14" s="0" t="n">
        <f aca="false">EXP(F14)</f>
        <v>18.7633788024272</v>
      </c>
      <c r="P14" s="0" t="n">
        <f aca="false">EXP(G14)</f>
        <v>0.311279732238877</v>
      </c>
      <c r="Q14" s="0" t="n">
        <f aca="false">EXP(H14)</f>
        <v>0.226994571836769</v>
      </c>
      <c r="R14" s="9" t="n">
        <f aca="false">O14/SUM($O14:$Q14)</f>
        <v>0.972112528336016</v>
      </c>
      <c r="S14" s="9" t="n">
        <f aca="false">P14/SUM($O14:$Q14)</f>
        <v>0.016127102197998</v>
      </c>
      <c r="T14" s="9" t="n">
        <f aca="false">Q14/SUM($O14:$Q14)</f>
        <v>0.0117603694659859</v>
      </c>
      <c r="U14" s="9" t="n">
        <v>0.97211254</v>
      </c>
      <c r="V14" s="9" t="n">
        <v>0.01612711</v>
      </c>
      <c r="W14" s="9" t="n">
        <v>0.0117603745</v>
      </c>
    </row>
    <row r="15" customFormat="false" ht="12.8" hidden="false" customHeight="false" outlineLevel="0" collapsed="false">
      <c r="A15" s="0" t="n">
        <v>11</v>
      </c>
      <c r="B15" s="0" t="n">
        <v>4.8</v>
      </c>
      <c r="C15" s="0" t="n">
        <v>3.4</v>
      </c>
      <c r="D15" s="0" t="n">
        <v>1.6</v>
      </c>
      <c r="E15" s="0" t="n">
        <v>0.2</v>
      </c>
      <c r="F15" s="6" t="n">
        <f aca="false">XGB_PREDICT(B15,C15,D15,E15,0)+0.5</f>
        <v>2.9319070341</v>
      </c>
      <c r="G15" s="0" t="n">
        <f aca="false">XGB_PREDICT(B15,C15,D15,E15,1)+0.5</f>
        <v>-1.3207281229</v>
      </c>
      <c r="H15" s="7" t="n">
        <f aca="false">XGB_PREDICT(B15,C15,D15,E15,2)+0.5</f>
        <v>-1.4828291744</v>
      </c>
      <c r="I15" s="0" t="n">
        <v>2.9319067</v>
      </c>
      <c r="J15" s="0" t="n">
        <v>-1.3207283</v>
      </c>
      <c r="K15" s="0" t="n">
        <v>-1.4828291</v>
      </c>
      <c r="L15" s="8" t="n">
        <f aca="false">ABS(F15-I15)&gt;0.000001</f>
        <v>0</v>
      </c>
      <c r="M15" s="8" t="n">
        <f aca="false">ABS(G15-J15)&gt;0.000001</f>
        <v>0</v>
      </c>
      <c r="N15" s="8" t="n">
        <f aca="false">ABS(H15-K15)&gt;0.000001</f>
        <v>0</v>
      </c>
      <c r="O15" s="0" t="n">
        <f aca="false">EXP(F15)</f>
        <v>18.7633788024272</v>
      </c>
      <c r="P15" s="0" t="n">
        <f aca="false">EXP(G15)</f>
        <v>0.266940865430528</v>
      </c>
      <c r="Q15" s="0" t="n">
        <f aca="false">EXP(H15)</f>
        <v>0.226994571836769</v>
      </c>
      <c r="R15" s="9" t="n">
        <f aca="false">O15/SUM($O15:$Q15)</f>
        <v>0.974350761943264</v>
      </c>
      <c r="S15" s="9" t="n">
        <f aca="false">P15/SUM($O15:$Q15)</f>
        <v>0.0138617910113494</v>
      </c>
      <c r="T15" s="9" t="n">
        <f aca="false">Q15/SUM($O15:$Q15)</f>
        <v>0.0117874470453866</v>
      </c>
      <c r="U15" s="9" t="n">
        <v>0.9743508</v>
      </c>
      <c r="V15" s="9" t="n">
        <v>0.013861794</v>
      </c>
      <c r="W15" s="9" t="n">
        <v>0.011787453</v>
      </c>
    </row>
    <row r="16" customFormat="false" ht="12.8" hidden="false" customHeight="false" outlineLevel="0" collapsed="false">
      <c r="A16" s="0" t="n">
        <v>12</v>
      </c>
      <c r="B16" s="0" t="n">
        <v>4.8</v>
      </c>
      <c r="C16" s="0" t="n">
        <v>3</v>
      </c>
      <c r="D16" s="0" t="n">
        <v>1.4</v>
      </c>
      <c r="E16" s="0" t="n">
        <v>0.1</v>
      </c>
      <c r="F16" s="6" t="n">
        <f aca="false">XGB_PREDICT(B16,C16,D16,E16,0)+0.5</f>
        <v>2.9319070341</v>
      </c>
      <c r="G16" s="0" t="n">
        <f aca="false">XGB_PREDICT(B16,C16,D16,E16,1)+0.5</f>
        <v>-1.3207281229</v>
      </c>
      <c r="H16" s="7" t="n">
        <f aca="false">XGB_PREDICT(B16,C16,D16,E16,2)+0.5</f>
        <v>-1.4828291744</v>
      </c>
      <c r="I16" s="0" t="n">
        <v>2.9319067</v>
      </c>
      <c r="J16" s="0" t="n">
        <v>-1.3207283</v>
      </c>
      <c r="K16" s="0" t="n">
        <v>-1.4828291</v>
      </c>
      <c r="L16" s="8" t="n">
        <f aca="false">ABS(F16-I16)&gt;0.000001</f>
        <v>0</v>
      </c>
      <c r="M16" s="8" t="n">
        <f aca="false">ABS(G16-J16)&gt;0.000001</f>
        <v>0</v>
      </c>
      <c r="N16" s="8" t="n">
        <f aca="false">ABS(H16-K16)&gt;0.000001</f>
        <v>0</v>
      </c>
      <c r="O16" s="0" t="n">
        <f aca="false">EXP(F16)</f>
        <v>18.7633788024272</v>
      </c>
      <c r="P16" s="0" t="n">
        <f aca="false">EXP(G16)</f>
        <v>0.266940865430528</v>
      </c>
      <c r="Q16" s="0" t="n">
        <f aca="false">EXP(H16)</f>
        <v>0.226994571836769</v>
      </c>
      <c r="R16" s="9" t="n">
        <f aca="false">O16/SUM($O16:$Q16)</f>
        <v>0.974350761943264</v>
      </c>
      <c r="S16" s="9" t="n">
        <f aca="false">P16/SUM($O16:$Q16)</f>
        <v>0.0138617910113494</v>
      </c>
      <c r="T16" s="9" t="n">
        <f aca="false">Q16/SUM($O16:$Q16)</f>
        <v>0.0117874470453866</v>
      </c>
      <c r="U16" s="9" t="n">
        <v>0.9743508</v>
      </c>
      <c r="V16" s="9" t="n">
        <v>0.013861794</v>
      </c>
      <c r="W16" s="9" t="n">
        <v>0.011787453</v>
      </c>
    </row>
    <row r="17" customFormat="false" ht="12.8" hidden="false" customHeight="false" outlineLevel="0" collapsed="false">
      <c r="A17" s="0" t="n">
        <v>13</v>
      </c>
      <c r="B17" s="0" t="n">
        <v>4.3</v>
      </c>
      <c r="C17" s="0" t="n">
        <v>3</v>
      </c>
      <c r="D17" s="0" t="n">
        <v>1.1</v>
      </c>
      <c r="E17" s="0" t="n">
        <v>0.1</v>
      </c>
      <c r="F17" s="6" t="n">
        <f aca="false">XGB_PREDICT(B17,C17,D17,E17,0)+0.5</f>
        <v>2.9319070341</v>
      </c>
      <c r="G17" s="0" t="n">
        <f aca="false">XGB_PREDICT(B17,C17,D17,E17,1)+0.5</f>
        <v>-1.3207281229</v>
      </c>
      <c r="H17" s="7" t="n">
        <f aca="false">XGB_PREDICT(B17,C17,D17,E17,2)+0.5</f>
        <v>-1.4828291744</v>
      </c>
      <c r="I17" s="0" t="n">
        <v>2.9319067</v>
      </c>
      <c r="J17" s="0" t="n">
        <v>-1.3207283</v>
      </c>
      <c r="K17" s="0" t="n">
        <v>-1.4828291</v>
      </c>
      <c r="L17" s="8" t="n">
        <f aca="false">ABS(F17-I17)&gt;0.000001</f>
        <v>0</v>
      </c>
      <c r="M17" s="8" t="n">
        <f aca="false">ABS(G17-J17)&gt;0.000001</f>
        <v>0</v>
      </c>
      <c r="N17" s="8" t="n">
        <f aca="false">ABS(H17-K17)&gt;0.000001</f>
        <v>0</v>
      </c>
      <c r="O17" s="0" t="n">
        <f aca="false">EXP(F17)</f>
        <v>18.7633788024272</v>
      </c>
      <c r="P17" s="0" t="n">
        <f aca="false">EXP(G17)</f>
        <v>0.266940865430528</v>
      </c>
      <c r="Q17" s="0" t="n">
        <f aca="false">EXP(H17)</f>
        <v>0.226994571836769</v>
      </c>
      <c r="R17" s="9" t="n">
        <f aca="false">O17/SUM($O17:$Q17)</f>
        <v>0.974350761943264</v>
      </c>
      <c r="S17" s="9" t="n">
        <f aca="false">P17/SUM($O17:$Q17)</f>
        <v>0.0138617910113494</v>
      </c>
      <c r="T17" s="9" t="n">
        <f aca="false">Q17/SUM($O17:$Q17)</f>
        <v>0.0117874470453866</v>
      </c>
      <c r="U17" s="9" t="n">
        <v>0.9743508</v>
      </c>
      <c r="V17" s="9" t="n">
        <v>0.013861794</v>
      </c>
      <c r="W17" s="9" t="n">
        <v>0.011787453</v>
      </c>
    </row>
    <row r="18" customFormat="false" ht="12.8" hidden="false" customHeight="false" outlineLevel="0" collapsed="false">
      <c r="A18" s="0" t="n">
        <v>14</v>
      </c>
      <c r="B18" s="0" t="n">
        <v>5.8</v>
      </c>
      <c r="C18" s="0" t="n">
        <v>4</v>
      </c>
      <c r="D18" s="0" t="n">
        <v>1.2</v>
      </c>
      <c r="E18" s="0" t="n">
        <v>0.2</v>
      </c>
      <c r="F18" s="6" t="n">
        <f aca="false">XGB_PREDICT(B18,C18,D18,E18,0)+0.5</f>
        <v>2.9319070341</v>
      </c>
      <c r="G18" s="0" t="n">
        <f aca="false">XGB_PREDICT(B18,C18,D18,E18,1)+0.5</f>
        <v>-1.0956420002</v>
      </c>
      <c r="H18" s="7" t="n">
        <f aca="false">XGB_PREDICT(B18,C18,D18,E18,2)+0.5</f>
        <v>-1.4828291744</v>
      </c>
      <c r="I18" s="0" t="n">
        <v>2.9319067</v>
      </c>
      <c r="J18" s="0" t="n">
        <v>-1.0956421</v>
      </c>
      <c r="K18" s="0" t="n">
        <v>-1.4828291</v>
      </c>
      <c r="L18" s="8" t="n">
        <f aca="false">ABS(F18-I18)&gt;0.000001</f>
        <v>0</v>
      </c>
      <c r="M18" s="8" t="n">
        <f aca="false">ABS(G18-J18)&gt;0.000001</f>
        <v>0</v>
      </c>
      <c r="N18" s="8" t="n">
        <f aca="false">ABS(H18-K18)&gt;0.000001</f>
        <v>0</v>
      </c>
      <c r="O18" s="0" t="n">
        <f aca="false">EXP(F18)</f>
        <v>18.7633788024272</v>
      </c>
      <c r="P18" s="0" t="n">
        <f aca="false">EXP(G18)</f>
        <v>0.334324901381922</v>
      </c>
      <c r="Q18" s="0" t="n">
        <f aca="false">EXP(H18)</f>
        <v>0.226994571836769</v>
      </c>
      <c r="R18" s="9" t="n">
        <f aca="false">O18/SUM($O18:$Q18)</f>
        <v>0.970953260681638</v>
      </c>
      <c r="S18" s="9" t="n">
        <f aca="false">P18/SUM($O18:$Q18)</f>
        <v>0.01730039437683</v>
      </c>
      <c r="T18" s="9" t="n">
        <f aca="false">Q18/SUM($O18:$Q18)</f>
        <v>0.0117463449415321</v>
      </c>
      <c r="U18" s="9" t="n">
        <v>0.9709533</v>
      </c>
      <c r="V18" s="9" t="n">
        <v>0.017300399</v>
      </c>
      <c r="W18" s="9" t="n">
        <v>0.01174635</v>
      </c>
    </row>
    <row r="19" customFormat="false" ht="12.8" hidden="false" customHeight="false" outlineLevel="0" collapsed="false">
      <c r="A19" s="0" t="n">
        <v>15</v>
      </c>
      <c r="B19" s="0" t="n">
        <v>5.7</v>
      </c>
      <c r="C19" s="0" t="n">
        <v>4.4</v>
      </c>
      <c r="D19" s="0" t="n">
        <v>1.5</v>
      </c>
      <c r="E19" s="0" t="n">
        <v>0.4</v>
      </c>
      <c r="F19" s="6" t="n">
        <f aca="false">XGB_PREDICT(B19,C19,D19,E19,0)+0.5</f>
        <v>2.9319070341</v>
      </c>
      <c r="G19" s="0" t="n">
        <f aca="false">XGB_PREDICT(B19,C19,D19,E19,1)+0.5</f>
        <v>-1.0956420002</v>
      </c>
      <c r="H19" s="7" t="n">
        <f aca="false">XGB_PREDICT(B19,C19,D19,E19,2)+0.5</f>
        <v>-1.4828291744</v>
      </c>
      <c r="I19" s="0" t="n">
        <v>2.9319067</v>
      </c>
      <c r="J19" s="0" t="n">
        <v>-1.0956421</v>
      </c>
      <c r="K19" s="0" t="n">
        <v>-1.4828291</v>
      </c>
      <c r="L19" s="8" t="n">
        <f aca="false">ABS(F19-I19)&gt;0.000001</f>
        <v>0</v>
      </c>
      <c r="M19" s="8" t="n">
        <f aca="false">ABS(G19-J19)&gt;0.000001</f>
        <v>0</v>
      </c>
      <c r="N19" s="8" t="n">
        <f aca="false">ABS(H19-K19)&gt;0.000001</f>
        <v>0</v>
      </c>
      <c r="O19" s="0" t="n">
        <f aca="false">EXP(F19)</f>
        <v>18.7633788024272</v>
      </c>
      <c r="P19" s="0" t="n">
        <f aca="false">EXP(G19)</f>
        <v>0.334324901381922</v>
      </c>
      <c r="Q19" s="0" t="n">
        <f aca="false">EXP(H19)</f>
        <v>0.226994571836769</v>
      </c>
      <c r="R19" s="9" t="n">
        <f aca="false">O19/SUM($O19:$Q19)</f>
        <v>0.970953260681638</v>
      </c>
      <c r="S19" s="9" t="n">
        <f aca="false">P19/SUM($O19:$Q19)</f>
        <v>0.01730039437683</v>
      </c>
      <c r="T19" s="9" t="n">
        <f aca="false">Q19/SUM($O19:$Q19)</f>
        <v>0.0117463449415321</v>
      </c>
      <c r="U19" s="9" t="n">
        <v>0.9709533</v>
      </c>
      <c r="V19" s="9" t="n">
        <v>0.017300399</v>
      </c>
      <c r="W19" s="9" t="n">
        <v>0.01174635</v>
      </c>
    </row>
    <row r="20" customFormat="false" ht="12.8" hidden="false" customHeight="false" outlineLevel="0" collapsed="false">
      <c r="A20" s="0" t="n">
        <v>16</v>
      </c>
      <c r="B20" s="0" t="n">
        <v>5.4</v>
      </c>
      <c r="C20" s="0" t="n">
        <v>3.9</v>
      </c>
      <c r="D20" s="0" t="n">
        <v>1.3</v>
      </c>
      <c r="E20" s="0" t="n">
        <v>0.4</v>
      </c>
      <c r="F20" s="6" t="n">
        <f aca="false">XGB_PREDICT(B20,C20,D20,E20,0)+0.5</f>
        <v>2.9319070341</v>
      </c>
      <c r="G20" s="0" t="n">
        <f aca="false">XGB_PREDICT(B20,C20,D20,E20,1)+0.5</f>
        <v>-1.1670633105</v>
      </c>
      <c r="H20" s="7" t="n">
        <f aca="false">XGB_PREDICT(B20,C20,D20,E20,2)+0.5</f>
        <v>-1.4828291744</v>
      </c>
      <c r="I20" s="0" t="n">
        <v>2.9319067</v>
      </c>
      <c r="J20" s="0" t="n">
        <v>-1.1670634</v>
      </c>
      <c r="K20" s="0" t="n">
        <v>-1.4828291</v>
      </c>
      <c r="L20" s="8" t="n">
        <f aca="false">ABS(F20-I20)&gt;0.000001</f>
        <v>0</v>
      </c>
      <c r="M20" s="8" t="n">
        <f aca="false">ABS(G20-J20)&gt;0.000001</f>
        <v>0</v>
      </c>
      <c r="N20" s="8" t="n">
        <f aca="false">ABS(H20-K20)&gt;0.000001</f>
        <v>0</v>
      </c>
      <c r="O20" s="0" t="n">
        <f aca="false">EXP(F20)</f>
        <v>18.7633788024272</v>
      </c>
      <c r="P20" s="0" t="n">
        <f aca="false">EXP(G20)</f>
        <v>0.311279732238877</v>
      </c>
      <c r="Q20" s="0" t="n">
        <f aca="false">EXP(H20)</f>
        <v>0.226994571836769</v>
      </c>
      <c r="R20" s="9" t="n">
        <f aca="false">O20/SUM($O20:$Q20)</f>
        <v>0.972112528336016</v>
      </c>
      <c r="S20" s="9" t="n">
        <f aca="false">P20/SUM($O20:$Q20)</f>
        <v>0.016127102197998</v>
      </c>
      <c r="T20" s="9" t="n">
        <f aca="false">Q20/SUM($O20:$Q20)</f>
        <v>0.0117603694659859</v>
      </c>
      <c r="U20" s="9" t="n">
        <v>0.97211254</v>
      </c>
      <c r="V20" s="9" t="n">
        <v>0.01612711</v>
      </c>
      <c r="W20" s="9" t="n">
        <v>0.0117603745</v>
      </c>
    </row>
    <row r="21" customFormat="false" ht="12.8" hidden="false" customHeight="false" outlineLevel="0" collapsed="false">
      <c r="A21" s="0" t="n">
        <v>17</v>
      </c>
      <c r="B21" s="0" t="n">
        <v>5.1</v>
      </c>
      <c r="C21" s="0" t="n">
        <v>3.5</v>
      </c>
      <c r="D21" s="0" t="n">
        <v>1.4</v>
      </c>
      <c r="E21" s="0" t="n">
        <v>0.3</v>
      </c>
      <c r="F21" s="6" t="n">
        <f aca="false">XGB_PREDICT(B21,C21,D21,E21,0)+0.5</f>
        <v>2.9319070341</v>
      </c>
      <c r="G21" s="0" t="n">
        <f aca="false">XGB_PREDICT(B21,C21,D21,E21,1)+0.5</f>
        <v>-1.2777427283</v>
      </c>
      <c r="H21" s="7" t="n">
        <f aca="false">XGB_PREDICT(B21,C21,D21,E21,2)+0.5</f>
        <v>-1.4828291744</v>
      </c>
      <c r="I21" s="0" t="n">
        <v>2.9319067</v>
      </c>
      <c r="J21" s="0" t="n">
        <v>-1.2777429</v>
      </c>
      <c r="K21" s="0" t="n">
        <v>-1.4828291</v>
      </c>
      <c r="L21" s="8" t="n">
        <f aca="false">ABS(F21-I21)&gt;0.000001</f>
        <v>0</v>
      </c>
      <c r="M21" s="8" t="n">
        <f aca="false">ABS(G21-J21)&gt;0.000001</f>
        <v>0</v>
      </c>
      <c r="N21" s="8" t="n">
        <f aca="false">ABS(H21-K21)&gt;0.000001</f>
        <v>0</v>
      </c>
      <c r="O21" s="0" t="n">
        <f aca="false">EXP(F21)</f>
        <v>18.7633788024272</v>
      </c>
      <c r="P21" s="0" t="n">
        <f aca="false">EXP(G21)</f>
        <v>0.278665615054649</v>
      </c>
      <c r="Q21" s="0" t="n">
        <f aca="false">EXP(H21)</f>
        <v>0.226994571836769</v>
      </c>
      <c r="R21" s="9" t="n">
        <f aca="false">O21/SUM($O21:$Q21)</f>
        <v>0.973757892795187</v>
      </c>
      <c r="S21" s="9" t="n">
        <f aca="false">P21/SUM($O21:$Q21)</f>
        <v>0.01446183253919</v>
      </c>
      <c r="T21" s="9" t="n">
        <f aca="false">Q21/SUM($O21:$Q21)</f>
        <v>0.0117802746656228</v>
      </c>
      <c r="U21" s="9" t="n">
        <v>0.9737579</v>
      </c>
      <c r="V21" s="9" t="n">
        <v>0.014461836</v>
      </c>
      <c r="W21" s="9" t="n">
        <v>0.01178028</v>
      </c>
    </row>
    <row r="22" customFormat="false" ht="12.8" hidden="false" customHeight="false" outlineLevel="0" collapsed="false">
      <c r="A22" s="0" t="n">
        <v>18</v>
      </c>
      <c r="B22" s="0" t="n">
        <v>5.7</v>
      </c>
      <c r="C22" s="0" t="n">
        <v>3.8</v>
      </c>
      <c r="D22" s="0" t="n">
        <v>1.7</v>
      </c>
      <c r="E22" s="0" t="n">
        <v>0.3</v>
      </c>
      <c r="F22" s="6" t="n">
        <f aca="false">XGB_PREDICT(B22,C22,D22,E22,0)+0.5</f>
        <v>2.9319070341</v>
      </c>
      <c r="G22" s="0" t="n">
        <f aca="false">XGB_PREDICT(B22,C22,D22,E22,1)+0.5</f>
        <v>-1.0956420002</v>
      </c>
      <c r="H22" s="7" t="n">
        <f aca="false">XGB_PREDICT(B22,C22,D22,E22,2)+0.5</f>
        <v>-1.4828291744</v>
      </c>
      <c r="I22" s="0" t="n">
        <v>2.9319067</v>
      </c>
      <c r="J22" s="0" t="n">
        <v>-1.0956421</v>
      </c>
      <c r="K22" s="0" t="n">
        <v>-1.4828291</v>
      </c>
      <c r="L22" s="8" t="n">
        <f aca="false">ABS(F22-I22)&gt;0.000001</f>
        <v>0</v>
      </c>
      <c r="M22" s="8" t="n">
        <f aca="false">ABS(G22-J22)&gt;0.000001</f>
        <v>0</v>
      </c>
      <c r="N22" s="8" t="n">
        <f aca="false">ABS(H22-K22)&gt;0.000001</f>
        <v>0</v>
      </c>
      <c r="O22" s="0" t="n">
        <f aca="false">EXP(F22)</f>
        <v>18.7633788024272</v>
      </c>
      <c r="P22" s="0" t="n">
        <f aca="false">EXP(G22)</f>
        <v>0.334324901381922</v>
      </c>
      <c r="Q22" s="0" t="n">
        <f aca="false">EXP(H22)</f>
        <v>0.226994571836769</v>
      </c>
      <c r="R22" s="9" t="n">
        <f aca="false">O22/SUM($O22:$Q22)</f>
        <v>0.970953260681638</v>
      </c>
      <c r="S22" s="9" t="n">
        <f aca="false">P22/SUM($O22:$Q22)</f>
        <v>0.01730039437683</v>
      </c>
      <c r="T22" s="9" t="n">
        <f aca="false">Q22/SUM($O22:$Q22)</f>
        <v>0.0117463449415321</v>
      </c>
      <c r="U22" s="9" t="n">
        <v>0.9709533</v>
      </c>
      <c r="V22" s="9" t="n">
        <v>0.017300399</v>
      </c>
      <c r="W22" s="9" t="n">
        <v>0.01174635</v>
      </c>
    </row>
    <row r="23" customFormat="false" ht="12.8" hidden="false" customHeight="false" outlineLevel="0" collapsed="false">
      <c r="A23" s="0" t="n">
        <v>19</v>
      </c>
      <c r="B23" s="0" t="n">
        <v>5.1</v>
      </c>
      <c r="C23" s="0" t="n">
        <v>3.8</v>
      </c>
      <c r="D23" s="0" t="n">
        <v>1.5</v>
      </c>
      <c r="E23" s="0" t="n">
        <v>0.3</v>
      </c>
      <c r="F23" s="6" t="n">
        <f aca="false">XGB_PREDICT(B23,C23,D23,E23,0)+0.5</f>
        <v>2.9319070341</v>
      </c>
      <c r="G23" s="0" t="n">
        <f aca="false">XGB_PREDICT(B23,C23,D23,E23,1)+0.5</f>
        <v>-1.2777427283</v>
      </c>
      <c r="H23" s="7" t="n">
        <f aca="false">XGB_PREDICT(B23,C23,D23,E23,2)+0.5</f>
        <v>-1.4828291744</v>
      </c>
      <c r="I23" s="0" t="n">
        <v>2.9319067</v>
      </c>
      <c r="J23" s="0" t="n">
        <v>-1.2777429</v>
      </c>
      <c r="K23" s="0" t="n">
        <v>-1.4828291</v>
      </c>
      <c r="L23" s="8" t="n">
        <f aca="false">ABS(F23-I23)&gt;0.000001</f>
        <v>0</v>
      </c>
      <c r="M23" s="8" t="n">
        <f aca="false">ABS(G23-J23)&gt;0.000001</f>
        <v>0</v>
      </c>
      <c r="N23" s="8" t="n">
        <f aca="false">ABS(H23-K23)&gt;0.000001</f>
        <v>0</v>
      </c>
      <c r="O23" s="0" t="n">
        <f aca="false">EXP(F23)</f>
        <v>18.7633788024272</v>
      </c>
      <c r="P23" s="0" t="n">
        <f aca="false">EXP(G23)</f>
        <v>0.278665615054649</v>
      </c>
      <c r="Q23" s="0" t="n">
        <f aca="false">EXP(H23)</f>
        <v>0.226994571836769</v>
      </c>
      <c r="R23" s="9" t="n">
        <f aca="false">O23/SUM($O23:$Q23)</f>
        <v>0.973757892795187</v>
      </c>
      <c r="S23" s="9" t="n">
        <f aca="false">P23/SUM($O23:$Q23)</f>
        <v>0.01446183253919</v>
      </c>
      <c r="T23" s="9" t="n">
        <f aca="false">Q23/SUM($O23:$Q23)</f>
        <v>0.0117802746656228</v>
      </c>
      <c r="U23" s="9" t="n">
        <v>0.9737579</v>
      </c>
      <c r="V23" s="9" t="n">
        <v>0.014461836</v>
      </c>
      <c r="W23" s="9" t="n">
        <v>0.01178028</v>
      </c>
    </row>
    <row r="24" customFormat="false" ht="12.8" hidden="false" customHeight="false" outlineLevel="0" collapsed="false">
      <c r="A24" s="0" t="n">
        <v>20</v>
      </c>
      <c r="B24" s="0" t="n">
        <v>5.4</v>
      </c>
      <c r="C24" s="0" t="n">
        <v>3.4</v>
      </c>
      <c r="D24" s="0" t="n">
        <v>1.7</v>
      </c>
      <c r="E24" s="0" t="n">
        <v>0.2</v>
      </c>
      <c r="F24" s="6" t="n">
        <f aca="false">XGB_PREDICT(B24,C24,D24,E24,0)+0.5</f>
        <v>2.9319070341</v>
      </c>
      <c r="G24" s="0" t="n">
        <f aca="false">XGB_PREDICT(B24,C24,D24,E24,1)+0.5</f>
        <v>-1.1670633105</v>
      </c>
      <c r="H24" s="7" t="n">
        <f aca="false">XGB_PREDICT(B24,C24,D24,E24,2)+0.5</f>
        <v>-1.4828291744</v>
      </c>
      <c r="I24" s="0" t="n">
        <v>2.9319067</v>
      </c>
      <c r="J24" s="0" t="n">
        <v>-1.1670634</v>
      </c>
      <c r="K24" s="0" t="n">
        <v>-1.4828291</v>
      </c>
      <c r="L24" s="8" t="n">
        <f aca="false">ABS(F24-I24)&gt;0.000001</f>
        <v>0</v>
      </c>
      <c r="M24" s="8" t="n">
        <f aca="false">ABS(G24-J24)&gt;0.000001</f>
        <v>0</v>
      </c>
      <c r="N24" s="8" t="n">
        <f aca="false">ABS(H24-K24)&gt;0.000001</f>
        <v>0</v>
      </c>
      <c r="O24" s="0" t="n">
        <f aca="false">EXP(F24)</f>
        <v>18.7633788024272</v>
      </c>
      <c r="P24" s="0" t="n">
        <f aca="false">EXP(G24)</f>
        <v>0.311279732238877</v>
      </c>
      <c r="Q24" s="0" t="n">
        <f aca="false">EXP(H24)</f>
        <v>0.226994571836769</v>
      </c>
      <c r="R24" s="9" t="n">
        <f aca="false">O24/SUM($O24:$Q24)</f>
        <v>0.972112528336016</v>
      </c>
      <c r="S24" s="9" t="n">
        <f aca="false">P24/SUM($O24:$Q24)</f>
        <v>0.016127102197998</v>
      </c>
      <c r="T24" s="9" t="n">
        <f aca="false">Q24/SUM($O24:$Q24)</f>
        <v>0.0117603694659859</v>
      </c>
      <c r="U24" s="9" t="n">
        <v>0.97211254</v>
      </c>
      <c r="V24" s="9" t="n">
        <v>0.01612711</v>
      </c>
      <c r="W24" s="9" t="n">
        <v>0.0117603745</v>
      </c>
    </row>
    <row r="25" customFormat="false" ht="12.8" hidden="false" customHeight="false" outlineLevel="0" collapsed="false">
      <c r="A25" s="0" t="n">
        <v>21</v>
      </c>
      <c r="B25" s="0" t="n">
        <v>5.1</v>
      </c>
      <c r="C25" s="0" t="n">
        <v>3.7</v>
      </c>
      <c r="D25" s="0" t="n">
        <v>1.5</v>
      </c>
      <c r="E25" s="0" t="n">
        <v>0.4</v>
      </c>
      <c r="F25" s="6" t="n">
        <f aca="false">XGB_PREDICT(B25,C25,D25,E25,0)+0.5</f>
        <v>2.9319070341</v>
      </c>
      <c r="G25" s="0" t="n">
        <f aca="false">XGB_PREDICT(B25,C25,D25,E25,1)+0.5</f>
        <v>-1.2777427283</v>
      </c>
      <c r="H25" s="7" t="n">
        <f aca="false">XGB_PREDICT(B25,C25,D25,E25,2)+0.5</f>
        <v>-1.4828291744</v>
      </c>
      <c r="I25" s="0" t="n">
        <v>2.9319067</v>
      </c>
      <c r="J25" s="0" t="n">
        <v>-1.2777429</v>
      </c>
      <c r="K25" s="0" t="n">
        <v>-1.4828291</v>
      </c>
      <c r="L25" s="8" t="n">
        <f aca="false">ABS(F25-I25)&gt;0.000001</f>
        <v>0</v>
      </c>
      <c r="M25" s="8" t="n">
        <f aca="false">ABS(G25-J25)&gt;0.000001</f>
        <v>0</v>
      </c>
      <c r="N25" s="8" t="n">
        <f aca="false">ABS(H25-K25)&gt;0.000001</f>
        <v>0</v>
      </c>
      <c r="O25" s="0" t="n">
        <f aca="false">EXP(F25)</f>
        <v>18.7633788024272</v>
      </c>
      <c r="P25" s="0" t="n">
        <f aca="false">EXP(G25)</f>
        <v>0.278665615054649</v>
      </c>
      <c r="Q25" s="0" t="n">
        <f aca="false">EXP(H25)</f>
        <v>0.226994571836769</v>
      </c>
      <c r="R25" s="9" t="n">
        <f aca="false">O25/SUM($O25:$Q25)</f>
        <v>0.973757892795187</v>
      </c>
      <c r="S25" s="9" t="n">
        <f aca="false">P25/SUM($O25:$Q25)</f>
        <v>0.01446183253919</v>
      </c>
      <c r="T25" s="9" t="n">
        <f aca="false">Q25/SUM($O25:$Q25)</f>
        <v>0.0117802746656228</v>
      </c>
      <c r="U25" s="9" t="n">
        <v>0.9737579</v>
      </c>
      <c r="V25" s="9" t="n">
        <v>0.014461836</v>
      </c>
      <c r="W25" s="9" t="n">
        <v>0.01178028</v>
      </c>
    </row>
    <row r="26" customFormat="false" ht="12.8" hidden="false" customHeight="false" outlineLevel="0" collapsed="false">
      <c r="A26" s="0" t="n">
        <v>22</v>
      </c>
      <c r="B26" s="0" t="n">
        <v>4.6</v>
      </c>
      <c r="C26" s="0" t="n">
        <v>3.6</v>
      </c>
      <c r="D26" s="0" t="n">
        <v>1</v>
      </c>
      <c r="E26" s="0" t="n">
        <v>0.2</v>
      </c>
      <c r="F26" s="6" t="n">
        <f aca="false">XGB_PREDICT(B26,C26,D26,E26,0)+0.5</f>
        <v>2.9319070341</v>
      </c>
      <c r="G26" s="0" t="n">
        <f aca="false">XGB_PREDICT(B26,C26,D26,E26,1)+0.5</f>
        <v>-1.3207281229</v>
      </c>
      <c r="H26" s="7" t="n">
        <f aca="false">XGB_PREDICT(B26,C26,D26,E26,2)+0.5</f>
        <v>-1.4828291744</v>
      </c>
      <c r="I26" s="0" t="n">
        <v>2.9319067</v>
      </c>
      <c r="J26" s="0" t="n">
        <v>-1.3207283</v>
      </c>
      <c r="K26" s="0" t="n">
        <v>-1.4828291</v>
      </c>
      <c r="L26" s="8" t="n">
        <f aca="false">ABS(F26-I26)&gt;0.000001</f>
        <v>0</v>
      </c>
      <c r="M26" s="8" t="n">
        <f aca="false">ABS(G26-J26)&gt;0.000001</f>
        <v>0</v>
      </c>
      <c r="N26" s="8" t="n">
        <f aca="false">ABS(H26-K26)&gt;0.000001</f>
        <v>0</v>
      </c>
      <c r="O26" s="0" t="n">
        <f aca="false">EXP(F26)</f>
        <v>18.7633788024272</v>
      </c>
      <c r="P26" s="0" t="n">
        <f aca="false">EXP(G26)</f>
        <v>0.266940865430528</v>
      </c>
      <c r="Q26" s="0" t="n">
        <f aca="false">EXP(H26)</f>
        <v>0.226994571836769</v>
      </c>
      <c r="R26" s="9" t="n">
        <f aca="false">O26/SUM($O26:$Q26)</f>
        <v>0.974350761943264</v>
      </c>
      <c r="S26" s="9" t="n">
        <f aca="false">P26/SUM($O26:$Q26)</f>
        <v>0.0138617910113494</v>
      </c>
      <c r="T26" s="9" t="n">
        <f aca="false">Q26/SUM($O26:$Q26)</f>
        <v>0.0117874470453866</v>
      </c>
      <c r="U26" s="9" t="n">
        <v>0.9743508</v>
      </c>
      <c r="V26" s="9" t="n">
        <v>0.013861794</v>
      </c>
      <c r="W26" s="9" t="n">
        <v>0.011787453</v>
      </c>
    </row>
    <row r="27" customFormat="false" ht="12.8" hidden="false" customHeight="false" outlineLevel="0" collapsed="false">
      <c r="A27" s="0" t="n">
        <v>23</v>
      </c>
      <c r="B27" s="0" t="n">
        <v>5.1</v>
      </c>
      <c r="C27" s="0" t="n">
        <v>3.3</v>
      </c>
      <c r="D27" s="0" t="n">
        <v>1.7</v>
      </c>
      <c r="E27" s="0" t="n">
        <v>0.5</v>
      </c>
      <c r="F27" s="6" t="n">
        <f aca="false">XGB_PREDICT(B27,C27,D27,E27,0)+0.5</f>
        <v>2.9319070341</v>
      </c>
      <c r="G27" s="0" t="n">
        <f aca="false">XGB_PREDICT(B27,C27,D27,E27,1)+0.5</f>
        <v>-1.2777427283</v>
      </c>
      <c r="H27" s="7" t="n">
        <f aca="false">XGB_PREDICT(B27,C27,D27,E27,2)+0.5</f>
        <v>-1.4828291744</v>
      </c>
      <c r="I27" s="0" t="n">
        <v>2.9319067</v>
      </c>
      <c r="J27" s="0" t="n">
        <v>-1.2777429</v>
      </c>
      <c r="K27" s="0" t="n">
        <v>-1.4828291</v>
      </c>
      <c r="L27" s="8" t="n">
        <f aca="false">ABS(F27-I27)&gt;0.000001</f>
        <v>0</v>
      </c>
      <c r="M27" s="8" t="n">
        <f aca="false">ABS(G27-J27)&gt;0.000001</f>
        <v>0</v>
      </c>
      <c r="N27" s="8" t="n">
        <f aca="false">ABS(H27-K27)&gt;0.000001</f>
        <v>0</v>
      </c>
      <c r="O27" s="0" t="n">
        <f aca="false">EXP(F27)</f>
        <v>18.7633788024272</v>
      </c>
      <c r="P27" s="0" t="n">
        <f aca="false">EXP(G27)</f>
        <v>0.278665615054649</v>
      </c>
      <c r="Q27" s="0" t="n">
        <f aca="false">EXP(H27)</f>
        <v>0.226994571836769</v>
      </c>
      <c r="R27" s="9" t="n">
        <f aca="false">O27/SUM($O27:$Q27)</f>
        <v>0.973757892795187</v>
      </c>
      <c r="S27" s="9" t="n">
        <f aca="false">P27/SUM($O27:$Q27)</f>
        <v>0.01446183253919</v>
      </c>
      <c r="T27" s="9" t="n">
        <f aca="false">Q27/SUM($O27:$Q27)</f>
        <v>0.0117802746656228</v>
      </c>
      <c r="U27" s="9" t="n">
        <v>0.9737579</v>
      </c>
      <c r="V27" s="9" t="n">
        <v>0.014461836</v>
      </c>
      <c r="W27" s="9" t="n">
        <v>0.01178028</v>
      </c>
    </row>
    <row r="28" customFormat="false" ht="12.8" hidden="false" customHeight="false" outlineLevel="0" collapsed="false">
      <c r="A28" s="0" t="n">
        <v>24</v>
      </c>
      <c r="B28" s="0" t="n">
        <v>4.8</v>
      </c>
      <c r="C28" s="0" t="n">
        <v>3.4</v>
      </c>
      <c r="D28" s="0" t="n">
        <v>1.9</v>
      </c>
      <c r="E28" s="0" t="n">
        <v>0.2</v>
      </c>
      <c r="F28" s="6" t="n">
        <f aca="false">XGB_PREDICT(B28,C28,D28,E28,0)+0.5</f>
        <v>2.9319070341</v>
      </c>
      <c r="G28" s="0" t="n">
        <f aca="false">XGB_PREDICT(B28,C28,D28,E28,1)+0.5</f>
        <v>-1.3207281229</v>
      </c>
      <c r="H28" s="7" t="n">
        <f aca="false">XGB_PREDICT(B28,C28,D28,E28,2)+0.5</f>
        <v>-1.4828291744</v>
      </c>
      <c r="I28" s="0" t="n">
        <v>2.9319067</v>
      </c>
      <c r="J28" s="0" t="n">
        <v>-1.3207283</v>
      </c>
      <c r="K28" s="0" t="n">
        <v>-1.4828291</v>
      </c>
      <c r="L28" s="8" t="n">
        <f aca="false">ABS(F28-I28)&gt;0.000001</f>
        <v>0</v>
      </c>
      <c r="M28" s="8" t="n">
        <f aca="false">ABS(G28-J28)&gt;0.000001</f>
        <v>0</v>
      </c>
      <c r="N28" s="8" t="n">
        <f aca="false">ABS(H28-K28)&gt;0.000001</f>
        <v>0</v>
      </c>
      <c r="O28" s="0" t="n">
        <f aca="false">EXP(F28)</f>
        <v>18.7633788024272</v>
      </c>
      <c r="P28" s="0" t="n">
        <f aca="false">EXP(G28)</f>
        <v>0.266940865430528</v>
      </c>
      <c r="Q28" s="0" t="n">
        <f aca="false">EXP(H28)</f>
        <v>0.226994571836769</v>
      </c>
      <c r="R28" s="9" t="n">
        <f aca="false">O28/SUM($O28:$Q28)</f>
        <v>0.974350761943264</v>
      </c>
      <c r="S28" s="9" t="n">
        <f aca="false">P28/SUM($O28:$Q28)</f>
        <v>0.0138617910113494</v>
      </c>
      <c r="T28" s="9" t="n">
        <f aca="false">Q28/SUM($O28:$Q28)</f>
        <v>0.0117874470453866</v>
      </c>
      <c r="U28" s="9" t="n">
        <v>0.9743508</v>
      </c>
      <c r="V28" s="9" t="n">
        <v>0.013861794</v>
      </c>
      <c r="W28" s="9" t="n">
        <v>0.011787453</v>
      </c>
    </row>
    <row r="29" customFormat="false" ht="12.8" hidden="false" customHeight="false" outlineLevel="0" collapsed="false">
      <c r="A29" s="0" t="n">
        <v>25</v>
      </c>
      <c r="B29" s="0" t="n">
        <v>5</v>
      </c>
      <c r="C29" s="0" t="n">
        <v>3</v>
      </c>
      <c r="D29" s="0" t="n">
        <v>1.6</v>
      </c>
      <c r="E29" s="0" t="n">
        <v>0.2</v>
      </c>
      <c r="F29" s="6" t="n">
        <f aca="false">XGB_PREDICT(B29,C29,D29,E29,0)+0.5</f>
        <v>2.9319070341</v>
      </c>
      <c r="G29" s="0" t="n">
        <f aca="false">XGB_PREDICT(B29,C29,D29,E29,1)+0.5</f>
        <v>-1.2777427283</v>
      </c>
      <c r="H29" s="7" t="n">
        <f aca="false">XGB_PREDICT(B29,C29,D29,E29,2)+0.5</f>
        <v>-1.4828291744</v>
      </c>
      <c r="I29" s="0" t="n">
        <v>2.9319067</v>
      </c>
      <c r="J29" s="0" t="n">
        <v>-1.2777429</v>
      </c>
      <c r="K29" s="0" t="n">
        <v>-1.4828291</v>
      </c>
      <c r="L29" s="8" t="n">
        <f aca="false">ABS(F29-I29)&gt;0.000001</f>
        <v>0</v>
      </c>
      <c r="M29" s="8" t="n">
        <f aca="false">ABS(G29-J29)&gt;0.000001</f>
        <v>0</v>
      </c>
      <c r="N29" s="8" t="n">
        <f aca="false">ABS(H29-K29)&gt;0.000001</f>
        <v>0</v>
      </c>
      <c r="O29" s="0" t="n">
        <f aca="false">EXP(F29)</f>
        <v>18.7633788024272</v>
      </c>
      <c r="P29" s="0" t="n">
        <f aca="false">EXP(G29)</f>
        <v>0.278665615054649</v>
      </c>
      <c r="Q29" s="0" t="n">
        <f aca="false">EXP(H29)</f>
        <v>0.226994571836769</v>
      </c>
      <c r="R29" s="9" t="n">
        <f aca="false">O29/SUM($O29:$Q29)</f>
        <v>0.973757892795187</v>
      </c>
      <c r="S29" s="9" t="n">
        <f aca="false">P29/SUM($O29:$Q29)</f>
        <v>0.01446183253919</v>
      </c>
      <c r="T29" s="9" t="n">
        <f aca="false">Q29/SUM($O29:$Q29)</f>
        <v>0.0117802746656228</v>
      </c>
      <c r="U29" s="9" t="n">
        <v>0.9737579</v>
      </c>
      <c r="V29" s="9" t="n">
        <v>0.014461836</v>
      </c>
      <c r="W29" s="9" t="n">
        <v>0.01178028</v>
      </c>
    </row>
    <row r="30" customFormat="false" ht="12.8" hidden="false" customHeight="false" outlineLevel="0" collapsed="false">
      <c r="A30" s="0" t="n">
        <v>26</v>
      </c>
      <c r="B30" s="0" t="n">
        <v>5</v>
      </c>
      <c r="C30" s="0" t="n">
        <v>3.4</v>
      </c>
      <c r="D30" s="0" t="n">
        <v>1.6</v>
      </c>
      <c r="E30" s="0" t="n">
        <v>0.4</v>
      </c>
      <c r="F30" s="6" t="n">
        <f aca="false">XGB_PREDICT(B30,C30,D30,E30,0)+0.5</f>
        <v>2.9319070341</v>
      </c>
      <c r="G30" s="0" t="n">
        <f aca="false">XGB_PREDICT(B30,C30,D30,E30,1)+0.5</f>
        <v>-1.2777427283</v>
      </c>
      <c r="H30" s="7" t="n">
        <f aca="false">XGB_PREDICT(B30,C30,D30,E30,2)+0.5</f>
        <v>-1.4828291744</v>
      </c>
      <c r="I30" s="0" t="n">
        <v>2.9319067</v>
      </c>
      <c r="J30" s="0" t="n">
        <v>-1.2777429</v>
      </c>
      <c r="K30" s="0" t="n">
        <v>-1.4828291</v>
      </c>
      <c r="L30" s="8" t="n">
        <f aca="false">ABS(F30-I30)&gt;0.000001</f>
        <v>0</v>
      </c>
      <c r="M30" s="8" t="n">
        <f aca="false">ABS(G30-J30)&gt;0.000001</f>
        <v>0</v>
      </c>
      <c r="N30" s="8" t="n">
        <f aca="false">ABS(H30-K30)&gt;0.000001</f>
        <v>0</v>
      </c>
      <c r="O30" s="0" t="n">
        <f aca="false">EXP(F30)</f>
        <v>18.7633788024272</v>
      </c>
      <c r="P30" s="0" t="n">
        <f aca="false">EXP(G30)</f>
        <v>0.278665615054649</v>
      </c>
      <c r="Q30" s="0" t="n">
        <f aca="false">EXP(H30)</f>
        <v>0.226994571836769</v>
      </c>
      <c r="R30" s="9" t="n">
        <f aca="false">O30/SUM($O30:$Q30)</f>
        <v>0.973757892795187</v>
      </c>
      <c r="S30" s="9" t="n">
        <f aca="false">P30/SUM($O30:$Q30)</f>
        <v>0.01446183253919</v>
      </c>
      <c r="T30" s="9" t="n">
        <f aca="false">Q30/SUM($O30:$Q30)</f>
        <v>0.0117802746656228</v>
      </c>
      <c r="U30" s="9" t="n">
        <v>0.9737579</v>
      </c>
      <c r="V30" s="9" t="n">
        <v>0.014461836</v>
      </c>
      <c r="W30" s="9" t="n">
        <v>0.01178028</v>
      </c>
    </row>
    <row r="31" customFormat="false" ht="12.8" hidden="false" customHeight="false" outlineLevel="0" collapsed="false">
      <c r="A31" s="0" t="n">
        <v>27</v>
      </c>
      <c r="B31" s="0" t="n">
        <v>5.2</v>
      </c>
      <c r="C31" s="0" t="n">
        <v>3.5</v>
      </c>
      <c r="D31" s="0" t="n">
        <v>1.5</v>
      </c>
      <c r="E31" s="0" t="n">
        <v>0.2</v>
      </c>
      <c r="F31" s="6" t="n">
        <f aca="false">XGB_PREDICT(B31,C31,D31,E31,0)+0.5</f>
        <v>2.9319070341</v>
      </c>
      <c r="G31" s="0" t="n">
        <f aca="false">XGB_PREDICT(B31,C31,D31,E31,1)+0.5</f>
        <v>-1.2777427283</v>
      </c>
      <c r="H31" s="7" t="n">
        <f aca="false">XGB_PREDICT(B31,C31,D31,E31,2)+0.5</f>
        <v>-1.4828291744</v>
      </c>
      <c r="I31" s="0" t="n">
        <v>2.9319067</v>
      </c>
      <c r="J31" s="0" t="n">
        <v>-1.2777429</v>
      </c>
      <c r="K31" s="0" t="n">
        <v>-1.4828291</v>
      </c>
      <c r="L31" s="8" t="n">
        <f aca="false">ABS(F31-I31)&gt;0.000001</f>
        <v>0</v>
      </c>
      <c r="M31" s="8" t="n">
        <f aca="false">ABS(G31-J31)&gt;0.000001</f>
        <v>0</v>
      </c>
      <c r="N31" s="8" t="n">
        <f aca="false">ABS(H31-K31)&gt;0.000001</f>
        <v>0</v>
      </c>
      <c r="O31" s="0" t="n">
        <f aca="false">EXP(F31)</f>
        <v>18.7633788024272</v>
      </c>
      <c r="P31" s="0" t="n">
        <f aca="false">EXP(G31)</f>
        <v>0.278665615054649</v>
      </c>
      <c r="Q31" s="0" t="n">
        <f aca="false">EXP(H31)</f>
        <v>0.226994571836769</v>
      </c>
      <c r="R31" s="9" t="n">
        <f aca="false">O31/SUM($O31:$Q31)</f>
        <v>0.973757892795187</v>
      </c>
      <c r="S31" s="9" t="n">
        <f aca="false">P31/SUM($O31:$Q31)</f>
        <v>0.01446183253919</v>
      </c>
      <c r="T31" s="9" t="n">
        <f aca="false">Q31/SUM($O31:$Q31)</f>
        <v>0.0117802746656228</v>
      </c>
      <c r="U31" s="9" t="n">
        <v>0.9737579</v>
      </c>
      <c r="V31" s="9" t="n">
        <v>0.014461836</v>
      </c>
      <c r="W31" s="9" t="n">
        <v>0.01178028</v>
      </c>
    </row>
    <row r="32" customFormat="false" ht="12.8" hidden="false" customHeight="false" outlineLevel="0" collapsed="false">
      <c r="A32" s="0" t="n">
        <v>28</v>
      </c>
      <c r="B32" s="0" t="n">
        <v>5.2</v>
      </c>
      <c r="C32" s="0" t="n">
        <v>3.4</v>
      </c>
      <c r="D32" s="0" t="n">
        <v>1.4</v>
      </c>
      <c r="E32" s="0" t="n">
        <v>0.2</v>
      </c>
      <c r="F32" s="6" t="n">
        <f aca="false">XGB_PREDICT(B32,C32,D32,E32,0)+0.5</f>
        <v>2.9319070341</v>
      </c>
      <c r="G32" s="0" t="n">
        <f aca="false">XGB_PREDICT(B32,C32,D32,E32,1)+0.5</f>
        <v>-1.2777427283</v>
      </c>
      <c r="H32" s="7" t="n">
        <f aca="false">XGB_PREDICT(B32,C32,D32,E32,2)+0.5</f>
        <v>-1.4828291744</v>
      </c>
      <c r="I32" s="0" t="n">
        <v>2.9319067</v>
      </c>
      <c r="J32" s="0" t="n">
        <v>-1.2777429</v>
      </c>
      <c r="K32" s="0" t="n">
        <v>-1.4828291</v>
      </c>
      <c r="L32" s="8" t="n">
        <f aca="false">ABS(F32-I32)&gt;0.000001</f>
        <v>0</v>
      </c>
      <c r="M32" s="8" t="n">
        <f aca="false">ABS(G32-J32)&gt;0.000001</f>
        <v>0</v>
      </c>
      <c r="N32" s="8" t="n">
        <f aca="false">ABS(H32-K32)&gt;0.000001</f>
        <v>0</v>
      </c>
      <c r="O32" s="0" t="n">
        <f aca="false">EXP(F32)</f>
        <v>18.7633788024272</v>
      </c>
      <c r="P32" s="0" t="n">
        <f aca="false">EXP(G32)</f>
        <v>0.278665615054649</v>
      </c>
      <c r="Q32" s="0" t="n">
        <f aca="false">EXP(H32)</f>
        <v>0.226994571836769</v>
      </c>
      <c r="R32" s="9" t="n">
        <f aca="false">O32/SUM($O32:$Q32)</f>
        <v>0.973757892795187</v>
      </c>
      <c r="S32" s="9" t="n">
        <f aca="false">P32/SUM($O32:$Q32)</f>
        <v>0.01446183253919</v>
      </c>
      <c r="T32" s="9" t="n">
        <f aca="false">Q32/SUM($O32:$Q32)</f>
        <v>0.0117802746656228</v>
      </c>
      <c r="U32" s="9" t="n">
        <v>0.9737579</v>
      </c>
      <c r="V32" s="9" t="n">
        <v>0.014461836</v>
      </c>
      <c r="W32" s="9" t="n">
        <v>0.01178028</v>
      </c>
    </row>
    <row r="33" customFormat="false" ht="12.8" hidden="false" customHeight="false" outlineLevel="0" collapsed="false">
      <c r="A33" s="0" t="n">
        <v>29</v>
      </c>
      <c r="B33" s="0" t="n">
        <v>4.7</v>
      </c>
      <c r="C33" s="0" t="n">
        <v>3.2</v>
      </c>
      <c r="D33" s="0" t="n">
        <v>1.6</v>
      </c>
      <c r="E33" s="0" t="n">
        <v>0.2</v>
      </c>
      <c r="F33" s="6" t="n">
        <f aca="false">XGB_PREDICT(B33,C33,D33,E33,0)+0.5</f>
        <v>2.9319070341</v>
      </c>
      <c r="G33" s="0" t="n">
        <f aca="false">XGB_PREDICT(B33,C33,D33,E33,1)+0.5</f>
        <v>-1.3207281229</v>
      </c>
      <c r="H33" s="7" t="n">
        <f aca="false">XGB_PREDICT(B33,C33,D33,E33,2)+0.5</f>
        <v>-1.4828291744</v>
      </c>
      <c r="I33" s="0" t="n">
        <v>2.9319067</v>
      </c>
      <c r="J33" s="0" t="n">
        <v>-1.3207283</v>
      </c>
      <c r="K33" s="0" t="n">
        <v>-1.4828291</v>
      </c>
      <c r="L33" s="8" t="n">
        <f aca="false">ABS(F33-I33)&gt;0.000001</f>
        <v>0</v>
      </c>
      <c r="M33" s="8" t="n">
        <f aca="false">ABS(G33-J33)&gt;0.000001</f>
        <v>0</v>
      </c>
      <c r="N33" s="8" t="n">
        <f aca="false">ABS(H33-K33)&gt;0.000001</f>
        <v>0</v>
      </c>
      <c r="O33" s="0" t="n">
        <f aca="false">EXP(F33)</f>
        <v>18.7633788024272</v>
      </c>
      <c r="P33" s="0" t="n">
        <f aca="false">EXP(G33)</f>
        <v>0.266940865430528</v>
      </c>
      <c r="Q33" s="0" t="n">
        <f aca="false">EXP(H33)</f>
        <v>0.226994571836769</v>
      </c>
      <c r="R33" s="9" t="n">
        <f aca="false">O33/SUM($O33:$Q33)</f>
        <v>0.974350761943264</v>
      </c>
      <c r="S33" s="9" t="n">
        <f aca="false">P33/SUM($O33:$Q33)</f>
        <v>0.0138617910113494</v>
      </c>
      <c r="T33" s="9" t="n">
        <f aca="false">Q33/SUM($O33:$Q33)</f>
        <v>0.0117874470453866</v>
      </c>
      <c r="U33" s="9" t="n">
        <v>0.9743508</v>
      </c>
      <c r="V33" s="9" t="n">
        <v>0.013861794</v>
      </c>
      <c r="W33" s="9" t="n">
        <v>0.011787453</v>
      </c>
    </row>
    <row r="34" customFormat="false" ht="12.8" hidden="false" customHeight="false" outlineLevel="0" collapsed="false">
      <c r="A34" s="0" t="n">
        <v>30</v>
      </c>
      <c r="B34" s="0" t="n">
        <v>4.8</v>
      </c>
      <c r="C34" s="0" t="n">
        <v>3.1</v>
      </c>
      <c r="D34" s="0" t="n">
        <v>1.6</v>
      </c>
      <c r="E34" s="0" t="n">
        <v>0.2</v>
      </c>
      <c r="F34" s="6" t="n">
        <f aca="false">XGB_PREDICT(B34,C34,D34,E34,0)+0.5</f>
        <v>2.9319070341</v>
      </c>
      <c r="G34" s="0" t="n">
        <f aca="false">XGB_PREDICT(B34,C34,D34,E34,1)+0.5</f>
        <v>-1.3207281229</v>
      </c>
      <c r="H34" s="7" t="n">
        <f aca="false">XGB_PREDICT(B34,C34,D34,E34,2)+0.5</f>
        <v>-1.4828291744</v>
      </c>
      <c r="I34" s="0" t="n">
        <v>2.9319067</v>
      </c>
      <c r="J34" s="0" t="n">
        <v>-1.3207283</v>
      </c>
      <c r="K34" s="0" t="n">
        <v>-1.4828291</v>
      </c>
      <c r="L34" s="8" t="n">
        <f aca="false">ABS(F34-I34)&gt;0.000001</f>
        <v>0</v>
      </c>
      <c r="M34" s="8" t="n">
        <f aca="false">ABS(G34-J34)&gt;0.000001</f>
        <v>0</v>
      </c>
      <c r="N34" s="8" t="n">
        <f aca="false">ABS(H34-K34)&gt;0.000001</f>
        <v>0</v>
      </c>
      <c r="O34" s="0" t="n">
        <f aca="false">EXP(F34)</f>
        <v>18.7633788024272</v>
      </c>
      <c r="P34" s="0" t="n">
        <f aca="false">EXP(G34)</f>
        <v>0.266940865430528</v>
      </c>
      <c r="Q34" s="0" t="n">
        <f aca="false">EXP(H34)</f>
        <v>0.226994571836769</v>
      </c>
      <c r="R34" s="9" t="n">
        <f aca="false">O34/SUM($O34:$Q34)</f>
        <v>0.974350761943264</v>
      </c>
      <c r="S34" s="9" t="n">
        <f aca="false">P34/SUM($O34:$Q34)</f>
        <v>0.0138617910113494</v>
      </c>
      <c r="T34" s="9" t="n">
        <f aca="false">Q34/SUM($O34:$Q34)</f>
        <v>0.0117874470453866</v>
      </c>
      <c r="U34" s="9" t="n">
        <v>0.9743508</v>
      </c>
      <c r="V34" s="9" t="n">
        <v>0.013861794</v>
      </c>
      <c r="W34" s="9" t="n">
        <v>0.011787453</v>
      </c>
    </row>
    <row r="35" customFormat="false" ht="12.8" hidden="false" customHeight="false" outlineLevel="0" collapsed="false">
      <c r="A35" s="0" t="n">
        <v>31</v>
      </c>
      <c r="B35" s="0" t="n">
        <v>5.4</v>
      </c>
      <c r="C35" s="0" t="n">
        <v>3.4</v>
      </c>
      <c r="D35" s="0" t="n">
        <v>1.5</v>
      </c>
      <c r="E35" s="0" t="n">
        <v>0.4</v>
      </c>
      <c r="F35" s="6" t="n">
        <f aca="false">XGB_PREDICT(B35,C35,D35,E35,0)+0.5</f>
        <v>2.9319070341</v>
      </c>
      <c r="G35" s="0" t="n">
        <f aca="false">XGB_PREDICT(B35,C35,D35,E35,1)+0.5</f>
        <v>-1.1670633105</v>
      </c>
      <c r="H35" s="7" t="n">
        <f aca="false">XGB_PREDICT(B35,C35,D35,E35,2)+0.5</f>
        <v>-1.4828291744</v>
      </c>
      <c r="I35" s="0" t="n">
        <v>2.9319067</v>
      </c>
      <c r="J35" s="0" t="n">
        <v>-1.1670634</v>
      </c>
      <c r="K35" s="0" t="n">
        <v>-1.4828291</v>
      </c>
      <c r="L35" s="8" t="n">
        <f aca="false">ABS(F35-I35)&gt;0.000001</f>
        <v>0</v>
      </c>
      <c r="M35" s="8" t="n">
        <f aca="false">ABS(G35-J35)&gt;0.000001</f>
        <v>0</v>
      </c>
      <c r="N35" s="8" t="n">
        <f aca="false">ABS(H35-K35)&gt;0.000001</f>
        <v>0</v>
      </c>
      <c r="O35" s="0" t="n">
        <f aca="false">EXP(F35)</f>
        <v>18.7633788024272</v>
      </c>
      <c r="P35" s="0" t="n">
        <f aca="false">EXP(G35)</f>
        <v>0.311279732238877</v>
      </c>
      <c r="Q35" s="0" t="n">
        <f aca="false">EXP(H35)</f>
        <v>0.226994571836769</v>
      </c>
      <c r="R35" s="9" t="n">
        <f aca="false">O35/SUM($O35:$Q35)</f>
        <v>0.972112528336016</v>
      </c>
      <c r="S35" s="9" t="n">
        <f aca="false">P35/SUM($O35:$Q35)</f>
        <v>0.016127102197998</v>
      </c>
      <c r="T35" s="9" t="n">
        <f aca="false">Q35/SUM($O35:$Q35)</f>
        <v>0.0117603694659859</v>
      </c>
      <c r="U35" s="9" t="n">
        <v>0.97211254</v>
      </c>
      <c r="V35" s="9" t="n">
        <v>0.01612711</v>
      </c>
      <c r="W35" s="9" t="n">
        <v>0.0117603745</v>
      </c>
    </row>
    <row r="36" customFormat="false" ht="12.8" hidden="false" customHeight="false" outlineLevel="0" collapsed="false">
      <c r="A36" s="0" t="n">
        <v>32</v>
      </c>
      <c r="B36" s="0" t="n">
        <v>5.2</v>
      </c>
      <c r="C36" s="0" t="n">
        <v>4.1</v>
      </c>
      <c r="D36" s="0" t="n">
        <v>1.5</v>
      </c>
      <c r="E36" s="0" t="n">
        <v>0.1</v>
      </c>
      <c r="F36" s="6" t="n">
        <f aca="false">XGB_PREDICT(B36,C36,D36,E36,0)+0.5</f>
        <v>2.9319070341</v>
      </c>
      <c r="G36" s="0" t="n">
        <f aca="false">XGB_PREDICT(B36,C36,D36,E36,1)+0.5</f>
        <v>-1.2777427283</v>
      </c>
      <c r="H36" s="7" t="n">
        <f aca="false">XGB_PREDICT(B36,C36,D36,E36,2)+0.5</f>
        <v>-1.4828291744</v>
      </c>
      <c r="I36" s="0" t="n">
        <v>2.9319067</v>
      </c>
      <c r="J36" s="0" t="n">
        <v>-1.2777429</v>
      </c>
      <c r="K36" s="0" t="n">
        <v>-1.4828291</v>
      </c>
      <c r="L36" s="8" t="n">
        <f aca="false">ABS(F36-I36)&gt;0.000001</f>
        <v>0</v>
      </c>
      <c r="M36" s="8" t="n">
        <f aca="false">ABS(G36-J36)&gt;0.000001</f>
        <v>0</v>
      </c>
      <c r="N36" s="8" t="n">
        <f aca="false">ABS(H36-K36)&gt;0.000001</f>
        <v>0</v>
      </c>
      <c r="O36" s="0" t="n">
        <f aca="false">EXP(F36)</f>
        <v>18.7633788024272</v>
      </c>
      <c r="P36" s="0" t="n">
        <f aca="false">EXP(G36)</f>
        <v>0.278665615054649</v>
      </c>
      <c r="Q36" s="0" t="n">
        <f aca="false">EXP(H36)</f>
        <v>0.226994571836769</v>
      </c>
      <c r="R36" s="9" t="n">
        <f aca="false">O36/SUM($O36:$Q36)</f>
        <v>0.973757892795187</v>
      </c>
      <c r="S36" s="9" t="n">
        <f aca="false">P36/SUM($O36:$Q36)</f>
        <v>0.01446183253919</v>
      </c>
      <c r="T36" s="9" t="n">
        <f aca="false">Q36/SUM($O36:$Q36)</f>
        <v>0.0117802746656228</v>
      </c>
      <c r="U36" s="9" t="n">
        <v>0.9737579</v>
      </c>
      <c r="V36" s="9" t="n">
        <v>0.014461836</v>
      </c>
      <c r="W36" s="9" t="n">
        <v>0.01178028</v>
      </c>
    </row>
    <row r="37" customFormat="false" ht="12.8" hidden="false" customHeight="false" outlineLevel="0" collapsed="false">
      <c r="A37" s="0" t="n">
        <v>33</v>
      </c>
      <c r="B37" s="0" t="n">
        <v>5.5</v>
      </c>
      <c r="C37" s="0" t="n">
        <v>4.2</v>
      </c>
      <c r="D37" s="0" t="n">
        <v>1.4</v>
      </c>
      <c r="E37" s="0" t="n">
        <v>0.2</v>
      </c>
      <c r="F37" s="6" t="n">
        <f aca="false">XGB_PREDICT(B37,C37,D37,E37,0)+0.5</f>
        <v>2.9319070341</v>
      </c>
      <c r="G37" s="0" t="n">
        <f aca="false">XGB_PREDICT(B37,C37,D37,E37,1)+0.5</f>
        <v>-1.0956420002</v>
      </c>
      <c r="H37" s="7" t="n">
        <f aca="false">XGB_PREDICT(B37,C37,D37,E37,2)+0.5</f>
        <v>-1.4828291744</v>
      </c>
      <c r="I37" s="0" t="n">
        <v>2.9319067</v>
      </c>
      <c r="J37" s="0" t="n">
        <v>-1.0956421</v>
      </c>
      <c r="K37" s="0" t="n">
        <v>-1.4828291</v>
      </c>
      <c r="L37" s="8" t="n">
        <f aca="false">ABS(F37-I37)&gt;0.000001</f>
        <v>0</v>
      </c>
      <c r="M37" s="8" t="n">
        <f aca="false">ABS(G37-J37)&gt;0.000001</f>
        <v>0</v>
      </c>
      <c r="N37" s="8" t="n">
        <f aca="false">ABS(H37-K37)&gt;0.000001</f>
        <v>0</v>
      </c>
      <c r="O37" s="0" t="n">
        <f aca="false">EXP(F37)</f>
        <v>18.7633788024272</v>
      </c>
      <c r="P37" s="0" t="n">
        <f aca="false">EXP(G37)</f>
        <v>0.334324901381922</v>
      </c>
      <c r="Q37" s="0" t="n">
        <f aca="false">EXP(H37)</f>
        <v>0.226994571836769</v>
      </c>
      <c r="R37" s="9" t="n">
        <f aca="false">O37/SUM($O37:$Q37)</f>
        <v>0.970953260681638</v>
      </c>
      <c r="S37" s="9" t="n">
        <f aca="false">P37/SUM($O37:$Q37)</f>
        <v>0.01730039437683</v>
      </c>
      <c r="T37" s="9" t="n">
        <f aca="false">Q37/SUM($O37:$Q37)</f>
        <v>0.0117463449415321</v>
      </c>
      <c r="U37" s="9" t="n">
        <v>0.9709533</v>
      </c>
      <c r="V37" s="9" t="n">
        <v>0.017300399</v>
      </c>
      <c r="W37" s="9" t="n">
        <v>0.01174635</v>
      </c>
    </row>
    <row r="38" customFormat="false" ht="12.8" hidden="false" customHeight="false" outlineLevel="0" collapsed="false">
      <c r="A38" s="0" t="n">
        <v>34</v>
      </c>
      <c r="B38" s="0" t="n">
        <v>4.9</v>
      </c>
      <c r="C38" s="0" t="n">
        <v>3.1</v>
      </c>
      <c r="D38" s="0" t="n">
        <v>1.5</v>
      </c>
      <c r="E38" s="0" t="n">
        <v>0.2</v>
      </c>
      <c r="F38" s="6" t="n">
        <f aca="false">XGB_PREDICT(B38,C38,D38,E38,0)+0.5</f>
        <v>2.9319070341</v>
      </c>
      <c r="G38" s="0" t="n">
        <f aca="false">XGB_PREDICT(B38,C38,D38,E38,1)+0.5</f>
        <v>-1.3207281229</v>
      </c>
      <c r="H38" s="7" t="n">
        <f aca="false">XGB_PREDICT(B38,C38,D38,E38,2)+0.5</f>
        <v>-1.4828291744</v>
      </c>
      <c r="I38" s="0" t="n">
        <v>2.9319067</v>
      </c>
      <c r="J38" s="0" t="n">
        <v>-1.3207283</v>
      </c>
      <c r="K38" s="0" t="n">
        <v>-1.4828291</v>
      </c>
      <c r="L38" s="8" t="n">
        <f aca="false">ABS(F38-I38)&gt;0.000001</f>
        <v>0</v>
      </c>
      <c r="M38" s="8" t="n">
        <f aca="false">ABS(G38-J38)&gt;0.000001</f>
        <v>0</v>
      </c>
      <c r="N38" s="8" t="n">
        <f aca="false">ABS(H38-K38)&gt;0.000001</f>
        <v>0</v>
      </c>
      <c r="O38" s="0" t="n">
        <f aca="false">EXP(F38)</f>
        <v>18.7633788024272</v>
      </c>
      <c r="P38" s="0" t="n">
        <f aca="false">EXP(G38)</f>
        <v>0.266940865430528</v>
      </c>
      <c r="Q38" s="0" t="n">
        <f aca="false">EXP(H38)</f>
        <v>0.226994571836769</v>
      </c>
      <c r="R38" s="9" t="n">
        <f aca="false">O38/SUM($O38:$Q38)</f>
        <v>0.974350761943264</v>
      </c>
      <c r="S38" s="9" t="n">
        <f aca="false">P38/SUM($O38:$Q38)</f>
        <v>0.0138617910113494</v>
      </c>
      <c r="T38" s="9" t="n">
        <f aca="false">Q38/SUM($O38:$Q38)</f>
        <v>0.0117874470453866</v>
      </c>
      <c r="U38" s="9" t="n">
        <v>0.9743508</v>
      </c>
      <c r="V38" s="9" t="n">
        <v>0.013861794</v>
      </c>
      <c r="W38" s="9" t="n">
        <v>0.011787453</v>
      </c>
    </row>
    <row r="39" customFormat="false" ht="12.8" hidden="false" customHeight="false" outlineLevel="0" collapsed="false">
      <c r="A39" s="0" t="n">
        <v>35</v>
      </c>
      <c r="B39" s="0" t="n">
        <v>5</v>
      </c>
      <c r="C39" s="0" t="n">
        <v>3.2</v>
      </c>
      <c r="D39" s="0" t="n">
        <v>1.2</v>
      </c>
      <c r="E39" s="0" t="n">
        <v>0.2</v>
      </c>
      <c r="F39" s="6" t="n">
        <f aca="false">XGB_PREDICT(B39,C39,D39,E39,0)+0.5</f>
        <v>2.9319070341</v>
      </c>
      <c r="G39" s="0" t="n">
        <f aca="false">XGB_PREDICT(B39,C39,D39,E39,1)+0.5</f>
        <v>-1.2777427283</v>
      </c>
      <c r="H39" s="7" t="n">
        <f aca="false">XGB_PREDICT(B39,C39,D39,E39,2)+0.5</f>
        <v>-1.4828291744</v>
      </c>
      <c r="I39" s="0" t="n">
        <v>2.9319067</v>
      </c>
      <c r="J39" s="0" t="n">
        <v>-1.2777429</v>
      </c>
      <c r="K39" s="0" t="n">
        <v>-1.4828291</v>
      </c>
      <c r="L39" s="8" t="n">
        <f aca="false">ABS(F39-I39)&gt;0.000001</f>
        <v>0</v>
      </c>
      <c r="M39" s="8" t="n">
        <f aca="false">ABS(G39-J39)&gt;0.000001</f>
        <v>0</v>
      </c>
      <c r="N39" s="8" t="n">
        <f aca="false">ABS(H39-K39)&gt;0.000001</f>
        <v>0</v>
      </c>
      <c r="O39" s="0" t="n">
        <f aca="false">EXP(F39)</f>
        <v>18.7633788024272</v>
      </c>
      <c r="P39" s="0" t="n">
        <f aca="false">EXP(G39)</f>
        <v>0.278665615054649</v>
      </c>
      <c r="Q39" s="0" t="n">
        <f aca="false">EXP(H39)</f>
        <v>0.226994571836769</v>
      </c>
      <c r="R39" s="9" t="n">
        <f aca="false">O39/SUM($O39:$Q39)</f>
        <v>0.973757892795187</v>
      </c>
      <c r="S39" s="9" t="n">
        <f aca="false">P39/SUM($O39:$Q39)</f>
        <v>0.01446183253919</v>
      </c>
      <c r="T39" s="9" t="n">
        <f aca="false">Q39/SUM($O39:$Q39)</f>
        <v>0.0117802746656228</v>
      </c>
      <c r="U39" s="9" t="n">
        <v>0.9737579</v>
      </c>
      <c r="V39" s="9" t="n">
        <v>0.014461836</v>
      </c>
      <c r="W39" s="9" t="n">
        <v>0.01178028</v>
      </c>
    </row>
    <row r="40" customFormat="false" ht="12.8" hidden="false" customHeight="false" outlineLevel="0" collapsed="false">
      <c r="A40" s="0" t="n">
        <v>36</v>
      </c>
      <c r="B40" s="0" t="n">
        <v>5.5</v>
      </c>
      <c r="C40" s="0" t="n">
        <v>3.5</v>
      </c>
      <c r="D40" s="0" t="n">
        <v>1.3</v>
      </c>
      <c r="E40" s="0" t="n">
        <v>0.2</v>
      </c>
      <c r="F40" s="6" t="n">
        <f aca="false">XGB_PREDICT(B40,C40,D40,E40,0)+0.5</f>
        <v>2.9319070341</v>
      </c>
      <c r="G40" s="0" t="n">
        <f aca="false">XGB_PREDICT(B40,C40,D40,E40,1)+0.5</f>
        <v>-1.0956420002</v>
      </c>
      <c r="H40" s="7" t="n">
        <f aca="false">XGB_PREDICT(B40,C40,D40,E40,2)+0.5</f>
        <v>-1.4828291744</v>
      </c>
      <c r="I40" s="0" t="n">
        <v>2.9319067</v>
      </c>
      <c r="J40" s="0" t="n">
        <v>-1.0956421</v>
      </c>
      <c r="K40" s="0" t="n">
        <v>-1.4828291</v>
      </c>
      <c r="L40" s="8" t="n">
        <f aca="false">ABS(F40-I40)&gt;0.000001</f>
        <v>0</v>
      </c>
      <c r="M40" s="8" t="n">
        <f aca="false">ABS(G40-J40)&gt;0.000001</f>
        <v>0</v>
      </c>
      <c r="N40" s="8" t="n">
        <f aca="false">ABS(H40-K40)&gt;0.000001</f>
        <v>0</v>
      </c>
      <c r="O40" s="0" t="n">
        <f aca="false">EXP(F40)</f>
        <v>18.7633788024272</v>
      </c>
      <c r="P40" s="0" t="n">
        <f aca="false">EXP(G40)</f>
        <v>0.334324901381922</v>
      </c>
      <c r="Q40" s="0" t="n">
        <f aca="false">EXP(H40)</f>
        <v>0.226994571836769</v>
      </c>
      <c r="R40" s="9" t="n">
        <f aca="false">O40/SUM($O40:$Q40)</f>
        <v>0.970953260681638</v>
      </c>
      <c r="S40" s="9" t="n">
        <f aca="false">P40/SUM($O40:$Q40)</f>
        <v>0.01730039437683</v>
      </c>
      <c r="T40" s="9" t="n">
        <f aca="false">Q40/SUM($O40:$Q40)</f>
        <v>0.0117463449415321</v>
      </c>
      <c r="U40" s="9" t="n">
        <v>0.9709533</v>
      </c>
      <c r="V40" s="9" t="n">
        <v>0.017300399</v>
      </c>
      <c r="W40" s="9" t="n">
        <v>0.01174635</v>
      </c>
    </row>
    <row r="41" customFormat="false" ht="12.8" hidden="false" customHeight="false" outlineLevel="0" collapsed="false">
      <c r="A41" s="0" t="n">
        <v>37</v>
      </c>
      <c r="B41" s="0" t="n">
        <v>4.9</v>
      </c>
      <c r="C41" s="0" t="n">
        <v>3.6</v>
      </c>
      <c r="D41" s="0" t="n">
        <v>1.4</v>
      </c>
      <c r="E41" s="0" t="n">
        <v>0.1</v>
      </c>
      <c r="F41" s="6" t="n">
        <f aca="false">XGB_PREDICT(B41,C41,D41,E41,0)+0.5</f>
        <v>2.9319070341</v>
      </c>
      <c r="G41" s="0" t="n">
        <f aca="false">XGB_PREDICT(B41,C41,D41,E41,1)+0.5</f>
        <v>-1.3207281229</v>
      </c>
      <c r="H41" s="7" t="n">
        <f aca="false">XGB_PREDICT(B41,C41,D41,E41,2)+0.5</f>
        <v>-1.4828291744</v>
      </c>
      <c r="I41" s="0" t="n">
        <v>2.9319067</v>
      </c>
      <c r="J41" s="0" t="n">
        <v>-1.3207283</v>
      </c>
      <c r="K41" s="0" t="n">
        <v>-1.4828291</v>
      </c>
      <c r="L41" s="8" t="n">
        <f aca="false">ABS(F41-I41)&gt;0.000001</f>
        <v>0</v>
      </c>
      <c r="M41" s="8" t="n">
        <f aca="false">ABS(G41-J41)&gt;0.000001</f>
        <v>0</v>
      </c>
      <c r="N41" s="8" t="n">
        <f aca="false">ABS(H41-K41)&gt;0.000001</f>
        <v>0</v>
      </c>
      <c r="O41" s="0" t="n">
        <f aca="false">EXP(F41)</f>
        <v>18.7633788024272</v>
      </c>
      <c r="P41" s="0" t="n">
        <f aca="false">EXP(G41)</f>
        <v>0.266940865430528</v>
      </c>
      <c r="Q41" s="0" t="n">
        <f aca="false">EXP(H41)</f>
        <v>0.226994571836769</v>
      </c>
      <c r="R41" s="9" t="n">
        <f aca="false">O41/SUM($O41:$Q41)</f>
        <v>0.974350761943264</v>
      </c>
      <c r="S41" s="9" t="n">
        <f aca="false">P41/SUM($O41:$Q41)</f>
        <v>0.0138617910113494</v>
      </c>
      <c r="T41" s="9" t="n">
        <f aca="false">Q41/SUM($O41:$Q41)</f>
        <v>0.0117874470453866</v>
      </c>
      <c r="U41" s="9" t="n">
        <v>0.9743508</v>
      </c>
      <c r="V41" s="9" t="n">
        <v>0.013861794</v>
      </c>
      <c r="W41" s="9" t="n">
        <v>0.011787453</v>
      </c>
    </row>
    <row r="42" customFormat="false" ht="12.8" hidden="false" customHeight="false" outlineLevel="0" collapsed="false">
      <c r="A42" s="0" t="n">
        <v>38</v>
      </c>
      <c r="B42" s="0" t="n">
        <v>4.4</v>
      </c>
      <c r="C42" s="0" t="n">
        <v>3</v>
      </c>
      <c r="D42" s="0" t="n">
        <v>1.3</v>
      </c>
      <c r="E42" s="0" t="n">
        <v>0.2</v>
      </c>
      <c r="F42" s="6" t="n">
        <f aca="false">XGB_PREDICT(B42,C42,D42,E42,0)+0.5</f>
        <v>2.9319070341</v>
      </c>
      <c r="G42" s="0" t="n">
        <f aca="false">XGB_PREDICT(B42,C42,D42,E42,1)+0.5</f>
        <v>-1.3207281229</v>
      </c>
      <c r="H42" s="7" t="n">
        <f aca="false">XGB_PREDICT(B42,C42,D42,E42,2)+0.5</f>
        <v>-1.4828291744</v>
      </c>
      <c r="I42" s="0" t="n">
        <v>2.9319067</v>
      </c>
      <c r="J42" s="0" t="n">
        <v>-1.3207283</v>
      </c>
      <c r="K42" s="0" t="n">
        <v>-1.4828291</v>
      </c>
      <c r="L42" s="8" t="n">
        <f aca="false">ABS(F42-I42)&gt;0.000001</f>
        <v>0</v>
      </c>
      <c r="M42" s="8" t="n">
        <f aca="false">ABS(G42-J42)&gt;0.000001</f>
        <v>0</v>
      </c>
      <c r="N42" s="8" t="n">
        <f aca="false">ABS(H42-K42)&gt;0.000001</f>
        <v>0</v>
      </c>
      <c r="O42" s="0" t="n">
        <f aca="false">EXP(F42)</f>
        <v>18.7633788024272</v>
      </c>
      <c r="P42" s="0" t="n">
        <f aca="false">EXP(G42)</f>
        <v>0.266940865430528</v>
      </c>
      <c r="Q42" s="0" t="n">
        <f aca="false">EXP(H42)</f>
        <v>0.226994571836769</v>
      </c>
      <c r="R42" s="9" t="n">
        <f aca="false">O42/SUM($O42:$Q42)</f>
        <v>0.974350761943264</v>
      </c>
      <c r="S42" s="9" t="n">
        <f aca="false">P42/SUM($O42:$Q42)</f>
        <v>0.0138617910113494</v>
      </c>
      <c r="T42" s="9" t="n">
        <f aca="false">Q42/SUM($O42:$Q42)</f>
        <v>0.0117874470453866</v>
      </c>
      <c r="U42" s="9" t="n">
        <v>0.9743508</v>
      </c>
      <c r="V42" s="9" t="n">
        <v>0.013861794</v>
      </c>
      <c r="W42" s="9" t="n">
        <v>0.011787453</v>
      </c>
    </row>
    <row r="43" customFormat="false" ht="12.8" hidden="false" customHeight="false" outlineLevel="0" collapsed="false">
      <c r="A43" s="0" t="n">
        <v>39</v>
      </c>
      <c r="B43" s="0" t="n">
        <v>5.1</v>
      </c>
      <c r="C43" s="0" t="n">
        <v>3.4</v>
      </c>
      <c r="D43" s="0" t="n">
        <v>1.5</v>
      </c>
      <c r="E43" s="0" t="n">
        <v>0.2</v>
      </c>
      <c r="F43" s="6" t="n">
        <f aca="false">XGB_PREDICT(B43,C43,D43,E43,0)+0.5</f>
        <v>2.9319070341</v>
      </c>
      <c r="G43" s="0" t="n">
        <f aca="false">XGB_PREDICT(B43,C43,D43,E43,1)+0.5</f>
        <v>-1.2777427283</v>
      </c>
      <c r="H43" s="7" t="n">
        <f aca="false">XGB_PREDICT(B43,C43,D43,E43,2)+0.5</f>
        <v>-1.4828291744</v>
      </c>
      <c r="I43" s="0" t="n">
        <v>2.9319067</v>
      </c>
      <c r="J43" s="0" t="n">
        <v>-1.2777429</v>
      </c>
      <c r="K43" s="0" t="n">
        <v>-1.4828291</v>
      </c>
      <c r="L43" s="8" t="n">
        <f aca="false">ABS(F43-I43)&gt;0.000001</f>
        <v>0</v>
      </c>
      <c r="M43" s="8" t="n">
        <f aca="false">ABS(G43-J43)&gt;0.000001</f>
        <v>0</v>
      </c>
      <c r="N43" s="8" t="n">
        <f aca="false">ABS(H43-K43)&gt;0.000001</f>
        <v>0</v>
      </c>
      <c r="O43" s="0" t="n">
        <f aca="false">EXP(F43)</f>
        <v>18.7633788024272</v>
      </c>
      <c r="P43" s="0" t="n">
        <f aca="false">EXP(G43)</f>
        <v>0.278665615054649</v>
      </c>
      <c r="Q43" s="0" t="n">
        <f aca="false">EXP(H43)</f>
        <v>0.226994571836769</v>
      </c>
      <c r="R43" s="9" t="n">
        <f aca="false">O43/SUM($O43:$Q43)</f>
        <v>0.973757892795187</v>
      </c>
      <c r="S43" s="9" t="n">
        <f aca="false">P43/SUM($O43:$Q43)</f>
        <v>0.01446183253919</v>
      </c>
      <c r="T43" s="9" t="n">
        <f aca="false">Q43/SUM($O43:$Q43)</f>
        <v>0.0117802746656228</v>
      </c>
      <c r="U43" s="9" t="n">
        <v>0.9737579</v>
      </c>
      <c r="V43" s="9" t="n">
        <v>0.014461836</v>
      </c>
      <c r="W43" s="9" t="n">
        <v>0.01178028</v>
      </c>
    </row>
    <row r="44" customFormat="false" ht="12.8" hidden="false" customHeight="false" outlineLevel="0" collapsed="false">
      <c r="A44" s="0" t="n">
        <v>40</v>
      </c>
      <c r="B44" s="0" t="n">
        <v>5</v>
      </c>
      <c r="C44" s="0" t="n">
        <v>3.5</v>
      </c>
      <c r="D44" s="0" t="n">
        <v>1.3</v>
      </c>
      <c r="E44" s="0" t="n">
        <v>0.3</v>
      </c>
      <c r="F44" s="6" t="n">
        <f aca="false">XGB_PREDICT(B44,C44,D44,E44,0)+0.5</f>
        <v>2.9319070341</v>
      </c>
      <c r="G44" s="0" t="n">
        <f aca="false">XGB_PREDICT(B44,C44,D44,E44,1)+0.5</f>
        <v>-1.2777427283</v>
      </c>
      <c r="H44" s="7" t="n">
        <f aca="false">XGB_PREDICT(B44,C44,D44,E44,2)+0.5</f>
        <v>-1.4828291744</v>
      </c>
      <c r="I44" s="0" t="n">
        <v>2.9319067</v>
      </c>
      <c r="J44" s="0" t="n">
        <v>-1.2777429</v>
      </c>
      <c r="K44" s="0" t="n">
        <v>-1.4828291</v>
      </c>
      <c r="L44" s="8" t="n">
        <f aca="false">ABS(F44-I44)&gt;0.000001</f>
        <v>0</v>
      </c>
      <c r="M44" s="8" t="n">
        <f aca="false">ABS(G44-J44)&gt;0.000001</f>
        <v>0</v>
      </c>
      <c r="N44" s="8" t="n">
        <f aca="false">ABS(H44-K44)&gt;0.000001</f>
        <v>0</v>
      </c>
      <c r="O44" s="0" t="n">
        <f aca="false">EXP(F44)</f>
        <v>18.7633788024272</v>
      </c>
      <c r="P44" s="0" t="n">
        <f aca="false">EXP(G44)</f>
        <v>0.278665615054649</v>
      </c>
      <c r="Q44" s="0" t="n">
        <f aca="false">EXP(H44)</f>
        <v>0.226994571836769</v>
      </c>
      <c r="R44" s="9" t="n">
        <f aca="false">O44/SUM($O44:$Q44)</f>
        <v>0.973757892795187</v>
      </c>
      <c r="S44" s="9" t="n">
        <f aca="false">P44/SUM($O44:$Q44)</f>
        <v>0.01446183253919</v>
      </c>
      <c r="T44" s="9" t="n">
        <f aca="false">Q44/SUM($O44:$Q44)</f>
        <v>0.0117802746656228</v>
      </c>
      <c r="U44" s="9" t="n">
        <v>0.9737579</v>
      </c>
      <c r="V44" s="9" t="n">
        <v>0.014461836</v>
      </c>
      <c r="W44" s="9" t="n">
        <v>0.01178028</v>
      </c>
    </row>
    <row r="45" customFormat="false" ht="12.8" hidden="false" customHeight="false" outlineLevel="0" collapsed="false">
      <c r="A45" s="0" t="n">
        <v>41</v>
      </c>
      <c r="B45" s="0" t="n">
        <v>4.5</v>
      </c>
      <c r="C45" s="0" t="n">
        <v>2.3</v>
      </c>
      <c r="D45" s="0" t="n">
        <v>1.3</v>
      </c>
      <c r="E45" s="0" t="n">
        <v>0.3</v>
      </c>
      <c r="F45" s="6" t="n">
        <f aca="false">XGB_PREDICT(B45,C45,D45,E45,0)+0.5</f>
        <v>2.9319070341</v>
      </c>
      <c r="G45" s="0" t="n">
        <f aca="false">XGB_PREDICT(B45,C45,D45,E45,1)+0.5</f>
        <v>-1.3207281229</v>
      </c>
      <c r="H45" s="7" t="n">
        <f aca="false">XGB_PREDICT(B45,C45,D45,E45,2)+0.5</f>
        <v>-1.4471156736</v>
      </c>
      <c r="I45" s="0" t="n">
        <v>2.9319067</v>
      </c>
      <c r="J45" s="0" t="n">
        <v>-1.3207283</v>
      </c>
      <c r="K45" s="0" t="n">
        <v>-1.4471157</v>
      </c>
      <c r="L45" s="8" t="n">
        <f aca="false">ABS(F45-I45)&gt;0.000001</f>
        <v>0</v>
      </c>
      <c r="M45" s="8" t="n">
        <f aca="false">ABS(G45-J45)&gt;0.000001</f>
        <v>0</v>
      </c>
      <c r="N45" s="8" t="n">
        <f aca="false">ABS(H45-K45)&gt;0.000001</f>
        <v>0</v>
      </c>
      <c r="O45" s="0" t="n">
        <f aca="false">EXP(F45)</f>
        <v>18.7633788024272</v>
      </c>
      <c r="P45" s="0" t="n">
        <f aca="false">EXP(G45)</f>
        <v>0.266940865430528</v>
      </c>
      <c r="Q45" s="0" t="n">
        <f aca="false">EXP(H45)</f>
        <v>0.235247842042039</v>
      </c>
      <c r="R45" s="9" t="n">
        <f aca="false">O45/SUM($O45:$Q45)</f>
        <v>0.973933355079496</v>
      </c>
      <c r="S45" s="9" t="n">
        <f aca="false">P45/SUM($O45:$Q45)</f>
        <v>0.0138558526912512</v>
      </c>
      <c r="T45" s="9" t="n">
        <f aca="false">Q45/SUM($O45:$Q45)</f>
        <v>0.0122107922292533</v>
      </c>
      <c r="U45" s="9" t="n">
        <v>0.9739334</v>
      </c>
      <c r="V45" s="9" t="n">
        <v>0.013855856</v>
      </c>
      <c r="W45" s="9" t="n">
        <v>0.012210794</v>
      </c>
    </row>
    <row r="46" customFormat="false" ht="12.8" hidden="false" customHeight="false" outlineLevel="0" collapsed="false">
      <c r="A46" s="0" t="n">
        <v>42</v>
      </c>
      <c r="B46" s="0" t="n">
        <v>4.4</v>
      </c>
      <c r="C46" s="0" t="n">
        <v>3.2</v>
      </c>
      <c r="D46" s="0" t="n">
        <v>1.3</v>
      </c>
      <c r="E46" s="0" t="n">
        <v>0.2</v>
      </c>
      <c r="F46" s="6" t="n">
        <f aca="false">XGB_PREDICT(B46,C46,D46,E46,0)+0.5</f>
        <v>2.9319070341</v>
      </c>
      <c r="G46" s="0" t="n">
        <f aca="false">XGB_PREDICT(B46,C46,D46,E46,1)+0.5</f>
        <v>-1.3207281229</v>
      </c>
      <c r="H46" s="7" t="n">
        <f aca="false">XGB_PREDICT(B46,C46,D46,E46,2)+0.5</f>
        <v>-1.4828291744</v>
      </c>
      <c r="I46" s="0" t="n">
        <v>2.9319067</v>
      </c>
      <c r="J46" s="0" t="n">
        <v>-1.3207283</v>
      </c>
      <c r="K46" s="0" t="n">
        <v>-1.4828291</v>
      </c>
      <c r="L46" s="8" t="n">
        <f aca="false">ABS(F46-I46)&gt;0.000001</f>
        <v>0</v>
      </c>
      <c r="M46" s="8" t="n">
        <f aca="false">ABS(G46-J46)&gt;0.000001</f>
        <v>0</v>
      </c>
      <c r="N46" s="8" t="n">
        <f aca="false">ABS(H46-K46)&gt;0.000001</f>
        <v>0</v>
      </c>
      <c r="O46" s="0" t="n">
        <f aca="false">EXP(F46)</f>
        <v>18.7633788024272</v>
      </c>
      <c r="P46" s="0" t="n">
        <f aca="false">EXP(G46)</f>
        <v>0.266940865430528</v>
      </c>
      <c r="Q46" s="0" t="n">
        <f aca="false">EXP(H46)</f>
        <v>0.226994571836769</v>
      </c>
      <c r="R46" s="9" t="n">
        <f aca="false">O46/SUM($O46:$Q46)</f>
        <v>0.974350761943264</v>
      </c>
      <c r="S46" s="9" t="n">
        <f aca="false">P46/SUM($O46:$Q46)</f>
        <v>0.0138617910113494</v>
      </c>
      <c r="T46" s="9" t="n">
        <f aca="false">Q46/SUM($O46:$Q46)</f>
        <v>0.0117874470453866</v>
      </c>
      <c r="U46" s="9" t="n">
        <v>0.9743508</v>
      </c>
      <c r="V46" s="9" t="n">
        <v>0.013861794</v>
      </c>
      <c r="W46" s="9" t="n">
        <v>0.011787453</v>
      </c>
    </row>
    <row r="47" customFormat="false" ht="12.8" hidden="false" customHeight="false" outlineLevel="0" collapsed="false">
      <c r="A47" s="0" t="n">
        <v>43</v>
      </c>
      <c r="B47" s="0" t="n">
        <v>5</v>
      </c>
      <c r="C47" s="0" t="n">
        <v>3.5</v>
      </c>
      <c r="D47" s="0" t="n">
        <v>1.6</v>
      </c>
      <c r="E47" s="0" t="n">
        <v>0.6</v>
      </c>
      <c r="F47" s="6" t="n">
        <f aca="false">XGB_PREDICT(B47,C47,D47,E47,0)+0.5</f>
        <v>2.9319070341</v>
      </c>
      <c r="G47" s="0" t="n">
        <f aca="false">XGB_PREDICT(B47,C47,D47,E47,1)+0.5</f>
        <v>-1.2777427283</v>
      </c>
      <c r="H47" s="7" t="n">
        <f aca="false">XGB_PREDICT(B47,C47,D47,E47,2)+0.5</f>
        <v>-1.4828291744</v>
      </c>
      <c r="I47" s="0" t="n">
        <v>2.9319067</v>
      </c>
      <c r="J47" s="0" t="n">
        <v>-1.2777429</v>
      </c>
      <c r="K47" s="0" t="n">
        <v>-1.4828291</v>
      </c>
      <c r="L47" s="8" t="n">
        <f aca="false">ABS(F47-I47)&gt;0.000001</f>
        <v>0</v>
      </c>
      <c r="M47" s="8" t="n">
        <f aca="false">ABS(G47-J47)&gt;0.000001</f>
        <v>0</v>
      </c>
      <c r="N47" s="8" t="n">
        <f aca="false">ABS(H47-K47)&gt;0.000001</f>
        <v>0</v>
      </c>
      <c r="O47" s="0" t="n">
        <f aca="false">EXP(F47)</f>
        <v>18.7633788024272</v>
      </c>
      <c r="P47" s="0" t="n">
        <f aca="false">EXP(G47)</f>
        <v>0.278665615054649</v>
      </c>
      <c r="Q47" s="0" t="n">
        <f aca="false">EXP(H47)</f>
        <v>0.226994571836769</v>
      </c>
      <c r="R47" s="9" t="n">
        <f aca="false">O47/SUM($O47:$Q47)</f>
        <v>0.973757892795187</v>
      </c>
      <c r="S47" s="9" t="n">
        <f aca="false">P47/SUM($O47:$Q47)</f>
        <v>0.01446183253919</v>
      </c>
      <c r="T47" s="9" t="n">
        <f aca="false">Q47/SUM($O47:$Q47)</f>
        <v>0.0117802746656228</v>
      </c>
      <c r="U47" s="9" t="n">
        <v>0.9737579</v>
      </c>
      <c r="V47" s="9" t="n">
        <v>0.014461836</v>
      </c>
      <c r="W47" s="9" t="n">
        <v>0.01178028</v>
      </c>
    </row>
    <row r="48" customFormat="false" ht="12.8" hidden="false" customHeight="false" outlineLevel="0" collapsed="false">
      <c r="A48" s="0" t="n">
        <v>44</v>
      </c>
      <c r="B48" s="0" t="n">
        <v>5.1</v>
      </c>
      <c r="C48" s="0" t="n">
        <v>3.8</v>
      </c>
      <c r="D48" s="0" t="n">
        <v>1.9</v>
      </c>
      <c r="E48" s="0" t="n">
        <v>0.4</v>
      </c>
      <c r="F48" s="6" t="n">
        <f aca="false">XGB_PREDICT(B48,C48,D48,E48,0)+0.5</f>
        <v>2.9319070341</v>
      </c>
      <c r="G48" s="0" t="n">
        <f aca="false">XGB_PREDICT(B48,C48,D48,E48,1)+0.5</f>
        <v>-1.2777427283</v>
      </c>
      <c r="H48" s="7" t="n">
        <f aca="false">XGB_PREDICT(B48,C48,D48,E48,2)+0.5</f>
        <v>-1.4828291744</v>
      </c>
      <c r="I48" s="0" t="n">
        <v>2.9319067</v>
      </c>
      <c r="J48" s="0" t="n">
        <v>-1.2777429</v>
      </c>
      <c r="K48" s="0" t="n">
        <v>-1.4828291</v>
      </c>
      <c r="L48" s="8" t="n">
        <f aca="false">ABS(F48-I48)&gt;0.000001</f>
        <v>0</v>
      </c>
      <c r="M48" s="8" t="n">
        <f aca="false">ABS(G48-J48)&gt;0.000001</f>
        <v>0</v>
      </c>
      <c r="N48" s="8" t="n">
        <f aca="false">ABS(H48-K48)&gt;0.000001</f>
        <v>0</v>
      </c>
      <c r="O48" s="0" t="n">
        <f aca="false">EXP(F48)</f>
        <v>18.7633788024272</v>
      </c>
      <c r="P48" s="0" t="n">
        <f aca="false">EXP(G48)</f>
        <v>0.278665615054649</v>
      </c>
      <c r="Q48" s="0" t="n">
        <f aca="false">EXP(H48)</f>
        <v>0.226994571836769</v>
      </c>
      <c r="R48" s="9" t="n">
        <f aca="false">O48/SUM($O48:$Q48)</f>
        <v>0.973757892795187</v>
      </c>
      <c r="S48" s="9" t="n">
        <f aca="false">P48/SUM($O48:$Q48)</f>
        <v>0.01446183253919</v>
      </c>
      <c r="T48" s="9" t="n">
        <f aca="false">Q48/SUM($O48:$Q48)</f>
        <v>0.0117802746656228</v>
      </c>
      <c r="U48" s="9" t="n">
        <v>0.9737579</v>
      </c>
      <c r="V48" s="9" t="n">
        <v>0.014461836</v>
      </c>
      <c r="W48" s="9" t="n">
        <v>0.01178028</v>
      </c>
    </row>
    <row r="49" customFormat="false" ht="12.8" hidden="false" customHeight="false" outlineLevel="0" collapsed="false">
      <c r="A49" s="0" t="n">
        <v>45</v>
      </c>
      <c r="B49" s="0" t="n">
        <v>4.8</v>
      </c>
      <c r="C49" s="0" t="n">
        <v>3</v>
      </c>
      <c r="D49" s="0" t="n">
        <v>1.4</v>
      </c>
      <c r="E49" s="0" t="n">
        <v>0.3</v>
      </c>
      <c r="F49" s="6" t="n">
        <f aca="false">XGB_PREDICT(B49,C49,D49,E49,0)+0.5</f>
        <v>2.9319070341</v>
      </c>
      <c r="G49" s="0" t="n">
        <f aca="false">XGB_PREDICT(B49,C49,D49,E49,1)+0.5</f>
        <v>-1.3207281229</v>
      </c>
      <c r="H49" s="7" t="n">
        <f aca="false">XGB_PREDICT(B49,C49,D49,E49,2)+0.5</f>
        <v>-1.4828291744</v>
      </c>
      <c r="I49" s="0" t="n">
        <v>2.9319067</v>
      </c>
      <c r="J49" s="0" t="n">
        <v>-1.3207283</v>
      </c>
      <c r="K49" s="0" t="n">
        <v>-1.4828291</v>
      </c>
      <c r="L49" s="8" t="n">
        <f aca="false">ABS(F49-I49)&gt;0.000001</f>
        <v>0</v>
      </c>
      <c r="M49" s="8" t="n">
        <f aca="false">ABS(G49-J49)&gt;0.000001</f>
        <v>0</v>
      </c>
      <c r="N49" s="8" t="n">
        <f aca="false">ABS(H49-K49)&gt;0.000001</f>
        <v>0</v>
      </c>
      <c r="O49" s="0" t="n">
        <f aca="false">EXP(F49)</f>
        <v>18.7633788024272</v>
      </c>
      <c r="P49" s="0" t="n">
        <f aca="false">EXP(G49)</f>
        <v>0.266940865430528</v>
      </c>
      <c r="Q49" s="0" t="n">
        <f aca="false">EXP(H49)</f>
        <v>0.226994571836769</v>
      </c>
      <c r="R49" s="9" t="n">
        <f aca="false">O49/SUM($O49:$Q49)</f>
        <v>0.974350761943264</v>
      </c>
      <c r="S49" s="9" t="n">
        <f aca="false">P49/SUM($O49:$Q49)</f>
        <v>0.0138617910113494</v>
      </c>
      <c r="T49" s="9" t="n">
        <f aca="false">Q49/SUM($O49:$Q49)</f>
        <v>0.0117874470453866</v>
      </c>
      <c r="U49" s="9" t="n">
        <v>0.9743508</v>
      </c>
      <c r="V49" s="9" t="n">
        <v>0.013861794</v>
      </c>
      <c r="W49" s="9" t="n">
        <v>0.011787453</v>
      </c>
    </row>
    <row r="50" customFormat="false" ht="12.8" hidden="false" customHeight="false" outlineLevel="0" collapsed="false">
      <c r="A50" s="0" t="n">
        <v>46</v>
      </c>
      <c r="B50" s="0" t="n">
        <v>5.1</v>
      </c>
      <c r="C50" s="0" t="n">
        <v>3.8</v>
      </c>
      <c r="D50" s="0" t="n">
        <v>1.6</v>
      </c>
      <c r="E50" s="0" t="n">
        <v>0.2</v>
      </c>
      <c r="F50" s="6" t="n">
        <f aca="false">XGB_PREDICT(B50,C50,D50,E50,0)+0.5</f>
        <v>2.9319070341</v>
      </c>
      <c r="G50" s="0" t="n">
        <f aca="false">XGB_PREDICT(B50,C50,D50,E50,1)+0.5</f>
        <v>-1.2777427283</v>
      </c>
      <c r="H50" s="7" t="n">
        <f aca="false">XGB_PREDICT(B50,C50,D50,E50,2)+0.5</f>
        <v>-1.4828291744</v>
      </c>
      <c r="I50" s="0" t="n">
        <v>2.9319067</v>
      </c>
      <c r="J50" s="0" t="n">
        <v>-1.2777429</v>
      </c>
      <c r="K50" s="0" t="n">
        <v>-1.4828291</v>
      </c>
      <c r="L50" s="8" t="n">
        <f aca="false">ABS(F50-I50)&gt;0.000001</f>
        <v>0</v>
      </c>
      <c r="M50" s="8" t="n">
        <f aca="false">ABS(G50-J50)&gt;0.000001</f>
        <v>0</v>
      </c>
      <c r="N50" s="8" t="n">
        <f aca="false">ABS(H50-K50)&gt;0.000001</f>
        <v>0</v>
      </c>
      <c r="O50" s="0" t="n">
        <f aca="false">EXP(F50)</f>
        <v>18.7633788024272</v>
      </c>
      <c r="P50" s="0" t="n">
        <f aca="false">EXP(G50)</f>
        <v>0.278665615054649</v>
      </c>
      <c r="Q50" s="0" t="n">
        <f aca="false">EXP(H50)</f>
        <v>0.226994571836769</v>
      </c>
      <c r="R50" s="9" t="n">
        <f aca="false">O50/SUM($O50:$Q50)</f>
        <v>0.973757892795187</v>
      </c>
      <c r="S50" s="9" t="n">
        <f aca="false">P50/SUM($O50:$Q50)</f>
        <v>0.01446183253919</v>
      </c>
      <c r="T50" s="9" t="n">
        <f aca="false">Q50/SUM($O50:$Q50)</f>
        <v>0.0117802746656228</v>
      </c>
      <c r="U50" s="9" t="n">
        <v>0.9737579</v>
      </c>
      <c r="V50" s="9" t="n">
        <v>0.014461836</v>
      </c>
      <c r="W50" s="9" t="n">
        <v>0.01178028</v>
      </c>
    </row>
    <row r="51" customFormat="false" ht="12.8" hidden="false" customHeight="false" outlineLevel="0" collapsed="false">
      <c r="A51" s="0" t="n">
        <v>47</v>
      </c>
      <c r="B51" s="0" t="n">
        <v>4.6</v>
      </c>
      <c r="C51" s="0" t="n">
        <v>3.2</v>
      </c>
      <c r="D51" s="0" t="n">
        <v>1.4</v>
      </c>
      <c r="E51" s="0" t="n">
        <v>0.2</v>
      </c>
      <c r="F51" s="6" t="n">
        <f aca="false">XGB_PREDICT(B51,C51,D51,E51,0)+0.5</f>
        <v>2.9319070341</v>
      </c>
      <c r="G51" s="0" t="n">
        <f aca="false">XGB_PREDICT(B51,C51,D51,E51,1)+0.5</f>
        <v>-1.3207281229</v>
      </c>
      <c r="H51" s="7" t="n">
        <f aca="false">XGB_PREDICT(B51,C51,D51,E51,2)+0.5</f>
        <v>-1.4828291744</v>
      </c>
      <c r="I51" s="0" t="n">
        <v>2.9319067</v>
      </c>
      <c r="J51" s="0" t="n">
        <v>-1.3207283</v>
      </c>
      <c r="K51" s="0" t="n">
        <v>-1.4828291</v>
      </c>
      <c r="L51" s="8" t="n">
        <f aca="false">ABS(F51-I51)&gt;0.000001</f>
        <v>0</v>
      </c>
      <c r="M51" s="8" t="n">
        <f aca="false">ABS(G51-J51)&gt;0.000001</f>
        <v>0</v>
      </c>
      <c r="N51" s="8" t="n">
        <f aca="false">ABS(H51-K51)&gt;0.000001</f>
        <v>0</v>
      </c>
      <c r="O51" s="0" t="n">
        <f aca="false">EXP(F51)</f>
        <v>18.7633788024272</v>
      </c>
      <c r="P51" s="0" t="n">
        <f aca="false">EXP(G51)</f>
        <v>0.266940865430528</v>
      </c>
      <c r="Q51" s="0" t="n">
        <f aca="false">EXP(H51)</f>
        <v>0.226994571836769</v>
      </c>
      <c r="R51" s="9" t="n">
        <f aca="false">O51/SUM($O51:$Q51)</f>
        <v>0.974350761943264</v>
      </c>
      <c r="S51" s="9" t="n">
        <f aca="false">P51/SUM($O51:$Q51)</f>
        <v>0.0138617910113494</v>
      </c>
      <c r="T51" s="9" t="n">
        <f aca="false">Q51/SUM($O51:$Q51)</f>
        <v>0.0117874470453866</v>
      </c>
      <c r="U51" s="9" t="n">
        <v>0.9743508</v>
      </c>
      <c r="V51" s="9" t="n">
        <v>0.013861794</v>
      </c>
      <c r="W51" s="9" t="n">
        <v>0.011787453</v>
      </c>
    </row>
    <row r="52" customFormat="false" ht="12.8" hidden="false" customHeight="false" outlineLevel="0" collapsed="false">
      <c r="A52" s="0" t="n">
        <v>48</v>
      </c>
      <c r="B52" s="0" t="n">
        <v>5.3</v>
      </c>
      <c r="C52" s="0" t="n">
        <v>3.7</v>
      </c>
      <c r="D52" s="0" t="n">
        <v>1.5</v>
      </c>
      <c r="E52" s="0" t="n">
        <v>0.2</v>
      </c>
      <c r="F52" s="6" t="n">
        <f aca="false">XGB_PREDICT(B52,C52,D52,E52,0)+0.5</f>
        <v>2.9319070341</v>
      </c>
      <c r="G52" s="0" t="n">
        <f aca="false">XGB_PREDICT(B52,C52,D52,E52,1)+0.5</f>
        <v>-1.2777427283</v>
      </c>
      <c r="H52" s="7" t="n">
        <f aca="false">XGB_PREDICT(B52,C52,D52,E52,2)+0.5</f>
        <v>-1.4828291744</v>
      </c>
      <c r="I52" s="0" t="n">
        <v>2.9319067</v>
      </c>
      <c r="J52" s="0" t="n">
        <v>-1.2777429</v>
      </c>
      <c r="K52" s="0" t="n">
        <v>-1.4828291</v>
      </c>
      <c r="L52" s="8" t="n">
        <f aca="false">ABS(F52-I52)&gt;0.000001</f>
        <v>0</v>
      </c>
      <c r="M52" s="8" t="n">
        <f aca="false">ABS(G52-J52)&gt;0.000001</f>
        <v>0</v>
      </c>
      <c r="N52" s="8" t="n">
        <f aca="false">ABS(H52-K52)&gt;0.000001</f>
        <v>0</v>
      </c>
      <c r="O52" s="0" t="n">
        <f aca="false">EXP(F52)</f>
        <v>18.7633788024272</v>
      </c>
      <c r="P52" s="0" t="n">
        <f aca="false">EXP(G52)</f>
        <v>0.278665615054649</v>
      </c>
      <c r="Q52" s="0" t="n">
        <f aca="false">EXP(H52)</f>
        <v>0.226994571836769</v>
      </c>
      <c r="R52" s="9" t="n">
        <f aca="false">O52/SUM($O52:$Q52)</f>
        <v>0.973757892795187</v>
      </c>
      <c r="S52" s="9" t="n">
        <f aca="false">P52/SUM($O52:$Q52)</f>
        <v>0.01446183253919</v>
      </c>
      <c r="T52" s="9" t="n">
        <f aca="false">Q52/SUM($O52:$Q52)</f>
        <v>0.0117802746656228</v>
      </c>
      <c r="U52" s="9" t="n">
        <v>0.9737579</v>
      </c>
      <c r="V52" s="9" t="n">
        <v>0.014461836</v>
      </c>
      <c r="W52" s="9" t="n">
        <v>0.01178028</v>
      </c>
    </row>
    <row r="53" customFormat="false" ht="12.8" hidden="false" customHeight="false" outlineLevel="0" collapsed="false">
      <c r="A53" s="0" t="n">
        <v>49</v>
      </c>
      <c r="B53" s="0" t="n">
        <v>5</v>
      </c>
      <c r="C53" s="0" t="n">
        <v>3.3</v>
      </c>
      <c r="D53" s="0" t="n">
        <v>1.4</v>
      </c>
      <c r="E53" s="0" t="n">
        <v>0.2</v>
      </c>
      <c r="F53" s="6" t="n">
        <f aca="false">XGB_PREDICT(B53,C53,D53,E53,0)+0.5</f>
        <v>2.9319070341</v>
      </c>
      <c r="G53" s="0" t="n">
        <f aca="false">XGB_PREDICT(B53,C53,D53,E53,1)+0.5</f>
        <v>-1.2777427283</v>
      </c>
      <c r="H53" s="7" t="n">
        <f aca="false">XGB_PREDICT(B53,C53,D53,E53,2)+0.5</f>
        <v>-1.4828291744</v>
      </c>
      <c r="I53" s="0" t="n">
        <v>2.9319067</v>
      </c>
      <c r="J53" s="0" t="n">
        <v>-1.2777429</v>
      </c>
      <c r="K53" s="0" t="n">
        <v>-1.4828291</v>
      </c>
      <c r="L53" s="8" t="n">
        <f aca="false">ABS(F53-I53)&gt;0.000001</f>
        <v>0</v>
      </c>
      <c r="M53" s="8" t="n">
        <f aca="false">ABS(G53-J53)&gt;0.000001</f>
        <v>0</v>
      </c>
      <c r="N53" s="8" t="n">
        <f aca="false">ABS(H53-K53)&gt;0.000001</f>
        <v>0</v>
      </c>
      <c r="O53" s="0" t="n">
        <f aca="false">EXP(F53)</f>
        <v>18.7633788024272</v>
      </c>
      <c r="P53" s="0" t="n">
        <f aca="false">EXP(G53)</f>
        <v>0.278665615054649</v>
      </c>
      <c r="Q53" s="0" t="n">
        <f aca="false">EXP(H53)</f>
        <v>0.226994571836769</v>
      </c>
      <c r="R53" s="9" t="n">
        <f aca="false">O53/SUM($O53:$Q53)</f>
        <v>0.973757892795187</v>
      </c>
      <c r="S53" s="9" t="n">
        <f aca="false">P53/SUM($O53:$Q53)</f>
        <v>0.01446183253919</v>
      </c>
      <c r="T53" s="9" t="n">
        <f aca="false">Q53/SUM($O53:$Q53)</f>
        <v>0.0117802746656228</v>
      </c>
      <c r="U53" s="9" t="n">
        <v>0.9737579</v>
      </c>
      <c r="V53" s="9" t="n">
        <v>0.014461836</v>
      </c>
      <c r="W53" s="9" t="n">
        <v>0.01178028</v>
      </c>
    </row>
    <row r="54" customFormat="false" ht="12.8" hidden="false" customHeight="false" outlineLevel="0" collapsed="false">
      <c r="A54" s="0" t="n">
        <v>50</v>
      </c>
      <c r="B54" s="0" t="n">
        <v>7</v>
      </c>
      <c r="C54" s="0" t="n">
        <v>3.2</v>
      </c>
      <c r="D54" s="0" t="n">
        <v>4.7</v>
      </c>
      <c r="E54" s="0" t="n">
        <v>1.4</v>
      </c>
      <c r="F54" s="6" t="n">
        <f aca="false">XGB_PREDICT(B54,C54,D54,E54,0)+0.5</f>
        <v>-1.5419213694</v>
      </c>
      <c r="G54" s="0" t="n">
        <f aca="false">XGB_PREDICT(B54,C54,D54,E54,1)+0.5</f>
        <v>2.7834255547</v>
      </c>
      <c r="H54" s="7" t="n">
        <f aca="false">XGB_PREDICT(B54,C54,D54,E54,2)+0.5</f>
        <v>-1.2693456714</v>
      </c>
      <c r="I54" s="0" t="n">
        <v>-1.5419214</v>
      </c>
      <c r="J54" s="0" t="n">
        <v>2.7834253</v>
      </c>
      <c r="K54" s="0" t="n">
        <v>-1.2693455</v>
      </c>
      <c r="L54" s="8" t="n">
        <f aca="false">ABS(F54-I54)&gt;0.000001</f>
        <v>0</v>
      </c>
      <c r="M54" s="8" t="n">
        <f aca="false">ABS(G54-J54)&gt;0.000001</f>
        <v>0</v>
      </c>
      <c r="N54" s="8" t="n">
        <f aca="false">ABS(H54-K54)&gt;0.000001</f>
        <v>0</v>
      </c>
      <c r="O54" s="0" t="n">
        <f aca="false">EXP(F54)</f>
        <v>0.213969591596552</v>
      </c>
      <c r="P54" s="0" t="n">
        <f aca="false">EXP(G54)</f>
        <v>16.1743322177984</v>
      </c>
      <c r="Q54" s="0" t="n">
        <f aca="false">EXP(H54)</f>
        <v>0.281015438071864</v>
      </c>
      <c r="R54" s="9" t="n">
        <f aca="false">O54/SUM($O54:$Q54)</f>
        <v>0.012836134103157</v>
      </c>
      <c r="S54" s="9" t="n">
        <f aca="false">P54/SUM($O54:$Q54)</f>
        <v>0.970305620661</v>
      </c>
      <c r="T54" s="9" t="n">
        <f aca="false">Q54/SUM($O54:$Q54)</f>
        <v>0.0168582452358431</v>
      </c>
      <c r="U54" s="9" t="n">
        <v>0.012836133</v>
      </c>
      <c r="V54" s="9" t="n">
        <v>0.97030556</v>
      </c>
      <c r="W54" s="9" t="n">
        <v>0.016858255</v>
      </c>
    </row>
    <row r="55" customFormat="false" ht="12.8" hidden="false" customHeight="false" outlineLevel="0" collapsed="false">
      <c r="A55" s="0" t="n">
        <v>51</v>
      </c>
      <c r="B55" s="0" t="n">
        <v>6.4</v>
      </c>
      <c r="C55" s="0" t="n">
        <v>3.2</v>
      </c>
      <c r="D55" s="0" t="n">
        <v>4.5</v>
      </c>
      <c r="E55" s="0" t="n">
        <v>1.5</v>
      </c>
      <c r="F55" s="6" t="n">
        <f aca="false">XGB_PREDICT(B55,C55,D55,E55,0)+0.5</f>
        <v>-1.5419213694</v>
      </c>
      <c r="G55" s="0" t="n">
        <f aca="false">XGB_PREDICT(B55,C55,D55,E55,1)+0.5</f>
        <v>2.7834255547</v>
      </c>
      <c r="H55" s="7" t="n">
        <f aca="false">XGB_PREDICT(B55,C55,D55,E55,2)+0.5</f>
        <v>-0.9900750421</v>
      </c>
      <c r="I55" s="0" t="n">
        <v>-1.5419214</v>
      </c>
      <c r="J55" s="0" t="n">
        <v>2.7834253</v>
      </c>
      <c r="K55" s="0" t="n">
        <v>-0.990075</v>
      </c>
      <c r="L55" s="8" t="n">
        <f aca="false">ABS(F55-I55)&gt;0.000001</f>
        <v>0</v>
      </c>
      <c r="M55" s="8" t="n">
        <f aca="false">ABS(G55-J55)&gt;0.000001</f>
        <v>0</v>
      </c>
      <c r="N55" s="8" t="n">
        <f aca="false">ABS(H55-K55)&gt;0.000001</f>
        <v>0</v>
      </c>
      <c r="O55" s="0" t="n">
        <f aca="false">EXP(F55)</f>
        <v>0.213969591596552</v>
      </c>
      <c r="P55" s="0" t="n">
        <f aca="false">EXP(G55)</f>
        <v>16.1743322177984</v>
      </c>
      <c r="Q55" s="0" t="n">
        <f aca="false">EXP(H55)</f>
        <v>0.371548808173047</v>
      </c>
      <c r="R55" s="9" t="n">
        <f aca="false">O55/SUM($O55:$Q55)</f>
        <v>0.0127667958670387</v>
      </c>
      <c r="S55" s="9" t="n">
        <f aca="false">P55/SUM($O55:$Q55)</f>
        <v>0.965064223236223</v>
      </c>
      <c r="T55" s="9" t="n">
        <f aca="false">Q55/SUM($O55:$Q55)</f>
        <v>0.022168980896738</v>
      </c>
      <c r="U55" s="9" t="n">
        <v>0.012766794</v>
      </c>
      <c r="V55" s="9" t="n">
        <v>0.96506417</v>
      </c>
      <c r="W55" s="9" t="n">
        <v>0.022168985</v>
      </c>
    </row>
    <row r="56" customFormat="false" ht="12.8" hidden="false" customHeight="false" outlineLevel="0" collapsed="false">
      <c r="A56" s="0" t="n">
        <v>52</v>
      </c>
      <c r="B56" s="0" t="n">
        <v>6.9</v>
      </c>
      <c r="C56" s="0" t="n">
        <v>3.1</v>
      </c>
      <c r="D56" s="0" t="n">
        <v>4.9</v>
      </c>
      <c r="E56" s="0" t="n">
        <v>1.5</v>
      </c>
      <c r="F56" s="6" t="n">
        <f aca="false">XGB_PREDICT(B56,C56,D56,E56,0)+0.5</f>
        <v>-1.5419213694</v>
      </c>
      <c r="G56" s="0" t="n">
        <f aca="false">XGB_PREDICT(B56,C56,D56,E56,1)+0.5</f>
        <v>2.7834255547</v>
      </c>
      <c r="H56" s="7" t="n">
        <f aca="false">XGB_PREDICT(B56,C56,D56,E56,2)+0.5</f>
        <v>-0.2245808466</v>
      </c>
      <c r="I56" s="0" t="n">
        <v>-1.5419214</v>
      </c>
      <c r="J56" s="0" t="n">
        <v>2.7834253</v>
      </c>
      <c r="K56" s="0" t="n">
        <v>-0.22458088</v>
      </c>
      <c r="L56" s="8" t="n">
        <f aca="false">ABS(F56-I56)&gt;0.000001</f>
        <v>0</v>
      </c>
      <c r="M56" s="8" t="n">
        <f aca="false">ABS(G56-J56)&gt;0.000001</f>
        <v>0</v>
      </c>
      <c r="N56" s="8" t="n">
        <f aca="false">ABS(H56-K56)&gt;0.000001</f>
        <v>0</v>
      </c>
      <c r="O56" s="0" t="n">
        <f aca="false">EXP(F56)</f>
        <v>0.213969591596552</v>
      </c>
      <c r="P56" s="0" t="n">
        <f aca="false">EXP(G56)</f>
        <v>16.1743322177984</v>
      </c>
      <c r="Q56" s="0" t="n">
        <f aca="false">EXP(H56)</f>
        <v>0.798850989702713</v>
      </c>
      <c r="R56" s="9" t="n">
        <f aca="false">O56/SUM($O56:$Q56)</f>
        <v>0.0124493913621217</v>
      </c>
      <c r="S56" s="9" t="n">
        <f aca="false">P56/SUM($O56:$Q56)</f>
        <v>0.941071066677638</v>
      </c>
      <c r="T56" s="9" t="n">
        <f aca="false">Q56/SUM($O56:$Q56)</f>
        <v>0.0464795419602399</v>
      </c>
      <c r="U56" s="9" t="n">
        <v>0.012449391</v>
      </c>
      <c r="V56" s="9" t="n">
        <v>0.9410711</v>
      </c>
      <c r="W56" s="9" t="n">
        <v>0.046479557</v>
      </c>
    </row>
    <row r="57" customFormat="false" ht="12.8" hidden="false" customHeight="false" outlineLevel="0" collapsed="false">
      <c r="A57" s="0" t="n">
        <v>53</v>
      </c>
      <c r="B57" s="0" t="n">
        <v>5.5</v>
      </c>
      <c r="C57" s="0" t="n">
        <v>2.3</v>
      </c>
      <c r="D57" s="0" t="n">
        <v>4</v>
      </c>
      <c r="E57" s="0" t="n">
        <v>1.3</v>
      </c>
      <c r="F57" s="6" t="n">
        <f aca="false">XGB_PREDICT(B57,C57,D57,E57,0)+0.5</f>
        <v>-1.5419213694</v>
      </c>
      <c r="G57" s="0" t="n">
        <f aca="false">XGB_PREDICT(B57,C57,D57,E57,1)+0.5</f>
        <v>2.6123737991</v>
      </c>
      <c r="H57" s="7" t="n">
        <f aca="false">XGB_PREDICT(B57,C57,D57,E57,2)+0.5</f>
        <v>-1.3420646106</v>
      </c>
      <c r="I57" s="0" t="n">
        <v>-1.5419214</v>
      </c>
      <c r="J57" s="0" t="n">
        <v>2.6123738</v>
      </c>
      <c r="K57" s="0" t="n">
        <v>-1.3420646</v>
      </c>
      <c r="L57" s="8" t="n">
        <f aca="false">ABS(F57-I57)&gt;0.000001</f>
        <v>0</v>
      </c>
      <c r="M57" s="8" t="n">
        <f aca="false">ABS(G57-J57)&gt;0.000001</f>
        <v>0</v>
      </c>
      <c r="N57" s="8" t="n">
        <f aca="false">ABS(H57-K57)&gt;0.000001</f>
        <v>0</v>
      </c>
      <c r="O57" s="0" t="n">
        <f aca="false">EXP(F57)</f>
        <v>0.213969591596552</v>
      </c>
      <c r="P57" s="0" t="n">
        <f aca="false">EXP(G57)</f>
        <v>13.6313706116356</v>
      </c>
      <c r="Q57" s="0" t="n">
        <f aca="false">EXP(H57)</f>
        <v>0.261305616927431</v>
      </c>
      <c r="R57" s="9" t="n">
        <f aca="false">O57/SUM($O57:$Q57)</f>
        <v>0.0151679991349022</v>
      </c>
      <c r="S57" s="9" t="n">
        <f aca="false">P57/SUM($O57:$Q57)</f>
        <v>0.966308418416178</v>
      </c>
      <c r="T57" s="9" t="n">
        <f aca="false">Q57/SUM($O57:$Q57)</f>
        <v>0.0185235824489194</v>
      </c>
      <c r="U57" s="9" t="n">
        <v>0.015168001</v>
      </c>
      <c r="V57" s="9" t="n">
        <v>0.96630836</v>
      </c>
      <c r="W57" s="9" t="n">
        <v>0.01852358</v>
      </c>
    </row>
    <row r="58" customFormat="false" ht="12.8" hidden="false" customHeight="false" outlineLevel="0" collapsed="false">
      <c r="A58" s="0" t="n">
        <v>54</v>
      </c>
      <c r="B58" s="0" t="n">
        <v>6.5</v>
      </c>
      <c r="C58" s="0" t="n">
        <v>2.8</v>
      </c>
      <c r="D58" s="0" t="n">
        <v>4.6</v>
      </c>
      <c r="E58" s="0" t="n">
        <v>1.5</v>
      </c>
      <c r="F58" s="6" t="n">
        <f aca="false">XGB_PREDICT(B58,C58,D58,E58,0)+0.5</f>
        <v>-1.5419213694</v>
      </c>
      <c r="G58" s="0" t="n">
        <f aca="false">XGB_PREDICT(B58,C58,D58,E58,1)+0.5</f>
        <v>2.7834255547</v>
      </c>
      <c r="H58" s="7" t="n">
        <f aca="false">XGB_PREDICT(B58,C58,D58,E58,2)+0.5</f>
        <v>-0.3429473467</v>
      </c>
      <c r="I58" s="0" t="n">
        <v>-1.5419214</v>
      </c>
      <c r="J58" s="0" t="n">
        <v>2.7834253</v>
      </c>
      <c r="K58" s="0" t="n">
        <v>-0.34294748</v>
      </c>
      <c r="L58" s="8" t="n">
        <f aca="false">ABS(F58-I58)&gt;0.000001</f>
        <v>0</v>
      </c>
      <c r="M58" s="8" t="n">
        <f aca="false">ABS(G58-J58)&gt;0.000001</f>
        <v>0</v>
      </c>
      <c r="N58" s="8" t="n">
        <f aca="false">ABS(H58-K58)&gt;0.000001</f>
        <v>0</v>
      </c>
      <c r="O58" s="0" t="n">
        <f aca="false">EXP(F58)</f>
        <v>0.213969591596552</v>
      </c>
      <c r="P58" s="0" t="n">
        <f aca="false">EXP(G58)</f>
        <v>16.1743322177984</v>
      </c>
      <c r="Q58" s="0" t="n">
        <f aca="false">EXP(H58)</f>
        <v>0.709675577337561</v>
      </c>
      <c r="R58" s="9" t="n">
        <f aca="false">O58/SUM($O58:$Q58)</f>
        <v>0.0125143218263106</v>
      </c>
      <c r="S58" s="9" t="n">
        <f aca="false">P58/SUM($O58:$Q58)</f>
        <v>0.945979272984018</v>
      </c>
      <c r="T58" s="9" t="n">
        <f aca="false">Q58/SUM($O58:$Q58)</f>
        <v>0.0415064051896716</v>
      </c>
      <c r="U58" s="9" t="n">
        <v>0.012514321</v>
      </c>
      <c r="V58" s="9" t="n">
        <v>0.94597924</v>
      </c>
      <c r="W58" s="9" t="n">
        <v>0.04150641</v>
      </c>
    </row>
    <row r="59" customFormat="false" ht="12.8" hidden="false" customHeight="false" outlineLevel="0" collapsed="false">
      <c r="A59" s="0" t="n">
        <v>55</v>
      </c>
      <c r="B59" s="0" t="n">
        <v>5.7</v>
      </c>
      <c r="C59" s="0" t="n">
        <v>2.8</v>
      </c>
      <c r="D59" s="0" t="n">
        <v>4.5</v>
      </c>
      <c r="E59" s="0" t="n">
        <v>1.3</v>
      </c>
      <c r="F59" s="6" t="n">
        <f aca="false">XGB_PREDICT(B59,C59,D59,E59,0)+0.5</f>
        <v>-1.5419213694</v>
      </c>
      <c r="G59" s="0" t="n">
        <f aca="false">XGB_PREDICT(B59,C59,D59,E59,1)+0.5</f>
        <v>2.7834255547</v>
      </c>
      <c r="H59" s="7" t="n">
        <f aca="false">XGB_PREDICT(B59,C59,D59,E59,2)+0.5</f>
        <v>-0.622217976</v>
      </c>
      <c r="I59" s="0" t="n">
        <v>-1.5419214</v>
      </c>
      <c r="J59" s="0" t="n">
        <v>2.7834253</v>
      </c>
      <c r="K59" s="0" t="n">
        <v>-0.6222178</v>
      </c>
      <c r="L59" s="8" t="n">
        <f aca="false">ABS(F59-I59)&gt;0.000001</f>
        <v>0</v>
      </c>
      <c r="M59" s="8" t="n">
        <f aca="false">ABS(G59-J59)&gt;0.000001</f>
        <v>0</v>
      </c>
      <c r="N59" s="8" t="n">
        <f aca="false">ABS(H59-K59)&gt;0.000001</f>
        <v>0</v>
      </c>
      <c r="O59" s="0" t="n">
        <f aca="false">EXP(F59)</f>
        <v>0.213969591596552</v>
      </c>
      <c r="P59" s="0" t="n">
        <f aca="false">EXP(G59)</f>
        <v>16.1743322177984</v>
      </c>
      <c r="Q59" s="0" t="n">
        <f aca="false">EXP(H59)</f>
        <v>0.536752611951683</v>
      </c>
      <c r="R59" s="9" t="n">
        <f aca="false">O59/SUM($O59:$Q59)</f>
        <v>0.0126421804190292</v>
      </c>
      <c r="S59" s="9" t="n">
        <f aca="false">P59/SUM($O59:$Q59)</f>
        <v>0.955644325574434</v>
      </c>
      <c r="T59" s="9" t="n">
        <f aca="false">Q59/SUM($O59:$Q59)</f>
        <v>0.0317134940065367</v>
      </c>
      <c r="U59" s="9" t="n">
        <v>0.012642181</v>
      </c>
      <c r="V59" s="9" t="n">
        <v>0.95564437</v>
      </c>
      <c r="W59" s="9" t="n">
        <v>0.03171351</v>
      </c>
    </row>
    <row r="60" customFormat="false" ht="12.8" hidden="false" customHeight="false" outlineLevel="0" collapsed="false">
      <c r="A60" s="0" t="n">
        <v>56</v>
      </c>
      <c r="B60" s="0" t="n">
        <v>6.3</v>
      </c>
      <c r="C60" s="0" t="n">
        <v>3.3</v>
      </c>
      <c r="D60" s="0" t="n">
        <v>4.7</v>
      </c>
      <c r="E60" s="0" t="n">
        <v>1.6</v>
      </c>
      <c r="F60" s="6" t="n">
        <f aca="false">XGB_PREDICT(B60,C60,D60,E60,0)+0.5</f>
        <v>-1.5419213694</v>
      </c>
      <c r="G60" s="0" t="n">
        <f aca="false">XGB_PREDICT(B60,C60,D60,E60,1)+0.5</f>
        <v>2.7834255547</v>
      </c>
      <c r="H60" s="7" t="n">
        <f aca="false">XGB_PREDICT(B60,C60,D60,E60,2)+0.5</f>
        <v>-0.9900750421</v>
      </c>
      <c r="I60" s="0" t="n">
        <v>-1.5419214</v>
      </c>
      <c r="J60" s="0" t="n">
        <v>2.7834253</v>
      </c>
      <c r="K60" s="0" t="n">
        <v>-0.990075</v>
      </c>
      <c r="L60" s="8" t="n">
        <f aca="false">ABS(F60-I60)&gt;0.000001</f>
        <v>0</v>
      </c>
      <c r="M60" s="8" t="n">
        <f aca="false">ABS(G60-J60)&gt;0.000001</f>
        <v>0</v>
      </c>
      <c r="N60" s="8" t="n">
        <f aca="false">ABS(H60-K60)&gt;0.000001</f>
        <v>0</v>
      </c>
      <c r="O60" s="0" t="n">
        <f aca="false">EXP(F60)</f>
        <v>0.213969591596552</v>
      </c>
      <c r="P60" s="0" t="n">
        <f aca="false">EXP(G60)</f>
        <v>16.1743322177984</v>
      </c>
      <c r="Q60" s="0" t="n">
        <f aca="false">EXP(H60)</f>
        <v>0.371548808173047</v>
      </c>
      <c r="R60" s="9" t="n">
        <f aca="false">O60/SUM($O60:$Q60)</f>
        <v>0.0127667958670387</v>
      </c>
      <c r="S60" s="9" t="n">
        <f aca="false">P60/SUM($O60:$Q60)</f>
        <v>0.965064223236223</v>
      </c>
      <c r="T60" s="9" t="n">
        <f aca="false">Q60/SUM($O60:$Q60)</f>
        <v>0.022168980896738</v>
      </c>
      <c r="U60" s="9" t="n">
        <v>0.012766794</v>
      </c>
      <c r="V60" s="9" t="n">
        <v>0.96506417</v>
      </c>
      <c r="W60" s="9" t="n">
        <v>0.022168985</v>
      </c>
    </row>
    <row r="61" customFormat="false" ht="12.8" hidden="false" customHeight="false" outlineLevel="0" collapsed="false">
      <c r="A61" s="0" t="n">
        <v>57</v>
      </c>
      <c r="B61" s="0" t="n">
        <v>4.9</v>
      </c>
      <c r="C61" s="0" t="n">
        <v>2.4</v>
      </c>
      <c r="D61" s="0" t="n">
        <v>3.3</v>
      </c>
      <c r="E61" s="0" t="n">
        <v>1</v>
      </c>
      <c r="F61" s="6" t="n">
        <f aca="false">XGB_PREDICT(B61,C61,D61,E61,0)+0.5</f>
        <v>-1.5419213694</v>
      </c>
      <c r="G61" s="0" t="n">
        <f aca="false">XGB_PREDICT(B61,C61,D61,E61,1)+0.5</f>
        <v>2.3872876764</v>
      </c>
      <c r="H61" s="7" t="n">
        <f aca="false">XGB_PREDICT(B61,C61,D61,E61,2)+0.5</f>
        <v>-1.4471156736</v>
      </c>
      <c r="I61" s="0" t="n">
        <v>-1.5419214</v>
      </c>
      <c r="J61" s="0" t="n">
        <v>2.3872879</v>
      </c>
      <c r="K61" s="0" t="n">
        <v>-1.4471157</v>
      </c>
      <c r="L61" s="8" t="n">
        <f aca="false">ABS(F61-I61)&gt;0.000001</f>
        <v>0</v>
      </c>
      <c r="M61" s="8" t="n">
        <f aca="false">ABS(G61-J61)&gt;0.000001</f>
        <v>0</v>
      </c>
      <c r="N61" s="8" t="n">
        <f aca="false">ABS(H61-K61)&gt;0.000001</f>
        <v>0</v>
      </c>
      <c r="O61" s="0" t="n">
        <f aca="false">EXP(F61)</f>
        <v>0.213969591596552</v>
      </c>
      <c r="P61" s="0" t="n">
        <f aca="false">EXP(G61)</f>
        <v>10.8839331232389</v>
      </c>
      <c r="Q61" s="0" t="n">
        <f aca="false">EXP(H61)</f>
        <v>0.235247842042039</v>
      </c>
      <c r="R61" s="9" t="n">
        <f aca="false">O61/SUM($O61:$Q61)</f>
        <v>0.0188799743304129</v>
      </c>
      <c r="S61" s="9" t="n">
        <f aca="false">P61/SUM($O61:$Q61)</f>
        <v>0.960362528373367</v>
      </c>
      <c r="T61" s="9" t="n">
        <f aca="false">Q61/SUM($O61:$Q61)</f>
        <v>0.02075749729622</v>
      </c>
      <c r="U61" s="9" t="n">
        <v>0.01887997</v>
      </c>
      <c r="V61" s="9" t="n">
        <v>0.9603625</v>
      </c>
      <c r="W61" s="9" t="n">
        <v>0.020757493</v>
      </c>
    </row>
    <row r="62" customFormat="false" ht="12.8" hidden="false" customHeight="false" outlineLevel="0" collapsed="false">
      <c r="A62" s="0" t="n">
        <v>58</v>
      </c>
      <c r="B62" s="0" t="n">
        <v>6.6</v>
      </c>
      <c r="C62" s="0" t="n">
        <v>2.9</v>
      </c>
      <c r="D62" s="0" t="n">
        <v>4.6</v>
      </c>
      <c r="E62" s="0" t="n">
        <v>1.3</v>
      </c>
      <c r="F62" s="6" t="n">
        <f aca="false">XGB_PREDICT(B62,C62,D62,E62,0)+0.5</f>
        <v>-1.5419213694</v>
      </c>
      <c r="G62" s="0" t="n">
        <f aca="false">XGB_PREDICT(B62,C62,D62,E62,1)+0.5</f>
        <v>2.7834255547</v>
      </c>
      <c r="H62" s="7" t="n">
        <f aca="false">XGB_PREDICT(B62,C62,D62,E62,2)+0.5</f>
        <v>-1.2693456714</v>
      </c>
      <c r="I62" s="0" t="n">
        <v>-1.5419214</v>
      </c>
      <c r="J62" s="0" t="n">
        <v>2.7834253</v>
      </c>
      <c r="K62" s="0" t="n">
        <v>-1.2693455</v>
      </c>
      <c r="L62" s="8" t="n">
        <f aca="false">ABS(F62-I62)&gt;0.000001</f>
        <v>0</v>
      </c>
      <c r="M62" s="8" t="n">
        <f aca="false">ABS(G62-J62)&gt;0.000001</f>
        <v>0</v>
      </c>
      <c r="N62" s="8" t="n">
        <f aca="false">ABS(H62-K62)&gt;0.000001</f>
        <v>0</v>
      </c>
      <c r="O62" s="0" t="n">
        <f aca="false">EXP(F62)</f>
        <v>0.213969591596552</v>
      </c>
      <c r="P62" s="0" t="n">
        <f aca="false">EXP(G62)</f>
        <v>16.1743322177984</v>
      </c>
      <c r="Q62" s="0" t="n">
        <f aca="false">EXP(H62)</f>
        <v>0.281015438071864</v>
      </c>
      <c r="R62" s="9" t="n">
        <f aca="false">O62/SUM($O62:$Q62)</f>
        <v>0.012836134103157</v>
      </c>
      <c r="S62" s="9" t="n">
        <f aca="false">P62/SUM($O62:$Q62)</f>
        <v>0.970305620661</v>
      </c>
      <c r="T62" s="9" t="n">
        <f aca="false">Q62/SUM($O62:$Q62)</f>
        <v>0.0168582452358431</v>
      </c>
      <c r="U62" s="9" t="n">
        <v>0.012836133</v>
      </c>
      <c r="V62" s="9" t="n">
        <v>0.97030556</v>
      </c>
      <c r="W62" s="9" t="n">
        <v>0.016858255</v>
      </c>
    </row>
    <row r="63" customFormat="false" ht="12.8" hidden="false" customHeight="false" outlineLevel="0" collapsed="false">
      <c r="A63" s="0" t="n">
        <v>59</v>
      </c>
      <c r="B63" s="0" t="n">
        <v>5.2</v>
      </c>
      <c r="C63" s="0" t="n">
        <v>2.7</v>
      </c>
      <c r="D63" s="0" t="n">
        <v>3.9</v>
      </c>
      <c r="E63" s="0" t="n">
        <v>1.4</v>
      </c>
      <c r="F63" s="6" t="n">
        <f aca="false">XGB_PREDICT(B63,C63,D63,E63,0)+0.5</f>
        <v>-1.5419213694</v>
      </c>
      <c r="G63" s="0" t="n">
        <f aca="false">XGB_PREDICT(B63,C63,D63,E63,1)+0.5</f>
        <v>2.6013248266</v>
      </c>
      <c r="H63" s="7" t="n">
        <f aca="false">XGB_PREDICT(B63,C63,D63,E63,2)+0.5</f>
        <v>-1.4828291744</v>
      </c>
      <c r="I63" s="0" t="n">
        <v>-1.5419214</v>
      </c>
      <c r="J63" s="0" t="n">
        <v>2.6013248</v>
      </c>
      <c r="K63" s="0" t="n">
        <v>-1.4828291</v>
      </c>
      <c r="L63" s="8" t="n">
        <f aca="false">ABS(F63-I63)&gt;0.000001</f>
        <v>0</v>
      </c>
      <c r="M63" s="8" t="n">
        <f aca="false">ABS(G63-J63)&gt;0.000001</f>
        <v>0</v>
      </c>
      <c r="N63" s="8" t="n">
        <f aca="false">ABS(H63-K63)&gt;0.000001</f>
        <v>0</v>
      </c>
      <c r="O63" s="0" t="n">
        <f aca="false">EXP(F63)</f>
        <v>0.213969591596552</v>
      </c>
      <c r="P63" s="0" t="n">
        <f aca="false">EXP(G63)</f>
        <v>13.4815869740499</v>
      </c>
      <c r="Q63" s="0" t="n">
        <f aca="false">EXP(H63)</f>
        <v>0.226994571836769</v>
      </c>
      <c r="R63" s="9" t="n">
        <f aca="false">O63/SUM($O63:$Q63)</f>
        <v>0.0153685620892057</v>
      </c>
      <c r="S63" s="9" t="n">
        <f aca="false">P63/SUM($O63:$Q63)</f>
        <v>0.968327344674201</v>
      </c>
      <c r="T63" s="9" t="n">
        <f aca="false">Q63/SUM($O63:$Q63)</f>
        <v>0.0163040932365936</v>
      </c>
      <c r="U63" s="9" t="n">
        <v>0.015368562</v>
      </c>
      <c r="V63" s="9" t="n">
        <v>0.96832734</v>
      </c>
      <c r="W63" s="9" t="n">
        <v>0.01630409</v>
      </c>
    </row>
    <row r="64" customFormat="false" ht="12.8" hidden="false" customHeight="false" outlineLevel="0" collapsed="false">
      <c r="A64" s="0" t="n">
        <v>60</v>
      </c>
      <c r="B64" s="0" t="n">
        <v>5</v>
      </c>
      <c r="C64" s="0" t="n">
        <v>2</v>
      </c>
      <c r="D64" s="0" t="n">
        <v>3.5</v>
      </c>
      <c r="E64" s="0" t="n">
        <v>1</v>
      </c>
      <c r="F64" s="6" t="n">
        <f aca="false">XGB_PREDICT(B64,C64,D64,E64,0)+0.5</f>
        <v>-1.5419213694</v>
      </c>
      <c r="G64" s="0" t="n">
        <f aca="false">XGB_PREDICT(B64,C64,D64,E64,1)+0.5</f>
        <v>2.430273071</v>
      </c>
      <c r="H64" s="7" t="n">
        <f aca="false">XGB_PREDICT(B64,C64,D64,E64,2)+0.5</f>
        <v>-1.4471156736</v>
      </c>
      <c r="I64" s="0" t="n">
        <v>-1.5419214</v>
      </c>
      <c r="J64" s="0" t="n">
        <v>2.4302733</v>
      </c>
      <c r="K64" s="0" t="n">
        <v>-1.4471157</v>
      </c>
      <c r="L64" s="8" t="n">
        <f aca="false">ABS(F64-I64)&gt;0.000001</f>
        <v>0</v>
      </c>
      <c r="M64" s="8" t="n">
        <f aca="false">ABS(G64-J64)&gt;0.000001</f>
        <v>0</v>
      </c>
      <c r="N64" s="8" t="n">
        <f aca="false">ABS(H64-K64)&gt;0.000001</f>
        <v>0</v>
      </c>
      <c r="O64" s="0" t="n">
        <f aca="false">EXP(F64)</f>
        <v>0.213969591596552</v>
      </c>
      <c r="P64" s="0" t="n">
        <f aca="false">EXP(G64)</f>
        <v>11.3619842848317</v>
      </c>
      <c r="Q64" s="0" t="n">
        <f aca="false">EXP(H64)</f>
        <v>0.235247842042039</v>
      </c>
      <c r="R64" s="9" t="n">
        <f aca="false">O64/SUM($O64:$Q64)</f>
        <v>0.0181158189231454</v>
      </c>
      <c r="S64" s="9" t="n">
        <f aca="false">P64/SUM($O64:$Q64)</f>
        <v>0.961966830780978</v>
      </c>
      <c r="T64" s="9" t="n">
        <f aca="false">Q64/SUM($O64:$Q64)</f>
        <v>0.0199173502958771</v>
      </c>
      <c r="U64" s="9" t="n">
        <v>0.018115817</v>
      </c>
      <c r="V64" s="9" t="n">
        <v>0.9619669</v>
      </c>
      <c r="W64" s="9" t="n">
        <v>0.019917347</v>
      </c>
    </row>
    <row r="65" customFormat="false" ht="12.8" hidden="false" customHeight="false" outlineLevel="0" collapsed="false">
      <c r="A65" s="0" t="n">
        <v>61</v>
      </c>
      <c r="B65" s="0" t="n">
        <v>5.9</v>
      </c>
      <c r="C65" s="0" t="n">
        <v>3</v>
      </c>
      <c r="D65" s="0" t="n">
        <v>4.2</v>
      </c>
      <c r="E65" s="0" t="n">
        <v>1.5</v>
      </c>
      <c r="F65" s="6" t="n">
        <f aca="false">XGB_PREDICT(B65,C65,D65,E65,0)+0.5</f>
        <v>-1.5419213694</v>
      </c>
      <c r="G65" s="0" t="n">
        <f aca="false">XGB_PREDICT(B65,C65,D65,E65,1)+0.5</f>
        <v>2.7834255547</v>
      </c>
      <c r="H65" s="7" t="n">
        <f aca="false">XGB_PREDICT(B65,C65,D65,E65,2)+0.5</f>
        <v>-1.2035585451</v>
      </c>
      <c r="I65" s="0" t="n">
        <v>-1.5419214</v>
      </c>
      <c r="J65" s="0" t="n">
        <v>2.7834253</v>
      </c>
      <c r="K65" s="0" t="n">
        <v>-1.2035587</v>
      </c>
      <c r="L65" s="8" t="n">
        <f aca="false">ABS(F65-I65)&gt;0.000001</f>
        <v>0</v>
      </c>
      <c r="M65" s="8" t="n">
        <f aca="false">ABS(G65-J65)&gt;0.000001</f>
        <v>0</v>
      </c>
      <c r="N65" s="8" t="n">
        <f aca="false">ABS(H65-K65)&gt;0.000001</f>
        <v>0</v>
      </c>
      <c r="O65" s="0" t="n">
        <f aca="false">EXP(F65)</f>
        <v>0.213969591596552</v>
      </c>
      <c r="P65" s="0" t="n">
        <f aca="false">EXP(G65)</f>
        <v>16.1743322177984</v>
      </c>
      <c r="Q65" s="0" t="n">
        <f aca="false">EXP(H65)</f>
        <v>0.300124303512942</v>
      </c>
      <c r="R65" s="9" t="n">
        <f aca="false">O65/SUM($O65:$Q65)</f>
        <v>0.0128214362546181</v>
      </c>
      <c r="S65" s="9" t="n">
        <f aca="false">P65/SUM($O65:$Q65)</f>
        <v>0.969194584819963</v>
      </c>
      <c r="T65" s="9" t="n">
        <f aca="false">Q65/SUM($O65:$Q65)</f>
        <v>0.0179839789254187</v>
      </c>
      <c r="U65" s="9" t="n">
        <v>0.012821436</v>
      </c>
      <c r="V65" s="9" t="n">
        <v>0.9691946</v>
      </c>
      <c r="W65" s="9" t="n">
        <v>0.01798398</v>
      </c>
    </row>
    <row r="66" customFormat="false" ht="12.8" hidden="false" customHeight="false" outlineLevel="0" collapsed="false">
      <c r="A66" s="0" t="n">
        <v>62</v>
      </c>
      <c r="B66" s="0" t="n">
        <v>6</v>
      </c>
      <c r="C66" s="0" t="n">
        <v>2.2</v>
      </c>
      <c r="D66" s="0" t="n">
        <v>4</v>
      </c>
      <c r="E66" s="0" t="n">
        <v>1</v>
      </c>
      <c r="F66" s="6" t="n">
        <f aca="false">XGB_PREDICT(B66,C66,D66,E66,0)+0.5</f>
        <v>-1.5419213694</v>
      </c>
      <c r="G66" s="0" t="n">
        <f aca="false">XGB_PREDICT(B66,C66,D66,E66,1)+0.5</f>
        <v>2.6123737991</v>
      </c>
      <c r="H66" s="7" t="n">
        <f aca="false">XGB_PREDICT(B66,C66,D66,E66,2)+0.5</f>
        <v>-1.4471156736</v>
      </c>
      <c r="I66" s="0" t="n">
        <v>-1.5419214</v>
      </c>
      <c r="J66" s="0" t="n">
        <v>2.6123738</v>
      </c>
      <c r="K66" s="0" t="n">
        <v>-1.4471157</v>
      </c>
      <c r="L66" s="8" t="n">
        <f aca="false">ABS(F66-I66)&gt;0.000001</f>
        <v>0</v>
      </c>
      <c r="M66" s="8" t="n">
        <f aca="false">ABS(G66-J66)&gt;0.000001</f>
        <v>0</v>
      </c>
      <c r="N66" s="8" t="n">
        <f aca="false">ABS(H66-K66)&gt;0.000001</f>
        <v>0</v>
      </c>
      <c r="O66" s="0" t="n">
        <f aca="false">EXP(F66)</f>
        <v>0.213969591596552</v>
      </c>
      <c r="P66" s="0" t="n">
        <f aca="false">EXP(G66)</f>
        <v>13.6313706116356</v>
      </c>
      <c r="Q66" s="0" t="n">
        <f aca="false">EXP(H66)</f>
        <v>0.235247842042039</v>
      </c>
      <c r="R66" s="9" t="n">
        <f aca="false">O66/SUM($O66:$Q66)</f>
        <v>0.0151960692911803</v>
      </c>
      <c r="S66" s="9" t="n">
        <f aca="false">P66/SUM($O66:$Q66)</f>
        <v>0.968096685153049</v>
      </c>
      <c r="T66" s="9" t="n">
        <f aca="false">Q66/SUM($O66:$Q66)</f>
        <v>0.0167072455557702</v>
      </c>
      <c r="U66" s="9" t="n">
        <v>0.015196072</v>
      </c>
      <c r="V66" s="9" t="n">
        <v>0.9680967</v>
      </c>
      <c r="W66" s="9" t="n">
        <v>0.016707249</v>
      </c>
    </row>
    <row r="67" customFormat="false" ht="12.8" hidden="false" customHeight="false" outlineLevel="0" collapsed="false">
      <c r="A67" s="0" t="n">
        <v>63</v>
      </c>
      <c r="B67" s="0" t="n">
        <v>6.1</v>
      </c>
      <c r="C67" s="0" t="n">
        <v>2.9</v>
      </c>
      <c r="D67" s="0" t="n">
        <v>4.7</v>
      </c>
      <c r="E67" s="0" t="n">
        <v>1.4</v>
      </c>
      <c r="F67" s="6" t="n">
        <f aca="false">XGB_PREDICT(B67,C67,D67,E67,0)+0.5</f>
        <v>-1.5419213694</v>
      </c>
      <c r="G67" s="0" t="n">
        <f aca="false">XGB_PREDICT(B67,C67,D67,E67,1)+0.5</f>
        <v>2.7834255547</v>
      </c>
      <c r="H67" s="7" t="n">
        <f aca="false">XGB_PREDICT(B67,C67,D67,E67,2)+0.5</f>
        <v>-1.2693456714</v>
      </c>
      <c r="I67" s="0" t="n">
        <v>-1.5419214</v>
      </c>
      <c r="J67" s="0" t="n">
        <v>2.7834253</v>
      </c>
      <c r="K67" s="0" t="n">
        <v>-1.2693455</v>
      </c>
      <c r="L67" s="8" t="n">
        <f aca="false">ABS(F67-I67)&gt;0.000001</f>
        <v>0</v>
      </c>
      <c r="M67" s="8" t="n">
        <f aca="false">ABS(G67-J67)&gt;0.000001</f>
        <v>0</v>
      </c>
      <c r="N67" s="8" t="n">
        <f aca="false">ABS(H67-K67)&gt;0.000001</f>
        <v>0</v>
      </c>
      <c r="O67" s="0" t="n">
        <f aca="false">EXP(F67)</f>
        <v>0.213969591596552</v>
      </c>
      <c r="P67" s="0" t="n">
        <f aca="false">EXP(G67)</f>
        <v>16.1743322177984</v>
      </c>
      <c r="Q67" s="0" t="n">
        <f aca="false">EXP(H67)</f>
        <v>0.281015438071864</v>
      </c>
      <c r="R67" s="9" t="n">
        <f aca="false">O67/SUM($O67:$Q67)</f>
        <v>0.012836134103157</v>
      </c>
      <c r="S67" s="9" t="n">
        <f aca="false">P67/SUM($O67:$Q67)</f>
        <v>0.970305620661</v>
      </c>
      <c r="T67" s="9" t="n">
        <f aca="false">Q67/SUM($O67:$Q67)</f>
        <v>0.0168582452358431</v>
      </c>
      <c r="U67" s="9" t="n">
        <v>0.012836133</v>
      </c>
      <c r="V67" s="9" t="n">
        <v>0.97030556</v>
      </c>
      <c r="W67" s="9" t="n">
        <v>0.016858255</v>
      </c>
    </row>
    <row r="68" customFormat="false" ht="12.8" hidden="false" customHeight="false" outlineLevel="0" collapsed="false">
      <c r="A68" s="0" t="n">
        <v>64</v>
      </c>
      <c r="B68" s="0" t="n">
        <v>5.6</v>
      </c>
      <c r="C68" s="0" t="n">
        <v>2.9</v>
      </c>
      <c r="D68" s="0" t="n">
        <v>3.6</v>
      </c>
      <c r="E68" s="0" t="n">
        <v>1.3</v>
      </c>
      <c r="F68" s="6" t="n">
        <f aca="false">XGB_PREDICT(B68,C68,D68,E68,0)+0.5</f>
        <v>-1.5419213694</v>
      </c>
      <c r="G68" s="0" t="n">
        <f aca="false">XGB_PREDICT(B68,C68,D68,E68,1)+0.5</f>
        <v>2.7834255547</v>
      </c>
      <c r="H68" s="7" t="n">
        <f aca="false">XGB_PREDICT(B68,C68,D68,E68,2)+0.5</f>
        <v>-1.4828291744</v>
      </c>
      <c r="I68" s="0" t="n">
        <v>-1.5419214</v>
      </c>
      <c r="J68" s="0" t="n">
        <v>2.7834253</v>
      </c>
      <c r="K68" s="0" t="n">
        <v>-1.4828291</v>
      </c>
      <c r="L68" s="8" t="n">
        <f aca="false">ABS(F68-I68)&gt;0.000001</f>
        <v>0</v>
      </c>
      <c r="M68" s="8" t="n">
        <f aca="false">ABS(G68-J68)&gt;0.000001</f>
        <v>0</v>
      </c>
      <c r="N68" s="8" t="n">
        <f aca="false">ABS(H68-K68)&gt;0.000001</f>
        <v>0</v>
      </c>
      <c r="O68" s="0" t="n">
        <f aca="false">EXP(F68)</f>
        <v>0.213969591596552</v>
      </c>
      <c r="P68" s="0" t="n">
        <f aca="false">EXP(G68)</f>
        <v>16.1743322177984</v>
      </c>
      <c r="Q68" s="0" t="n">
        <f aca="false">EXP(H68)</f>
        <v>0.226994571836769</v>
      </c>
      <c r="R68" s="9" t="n">
        <f aca="false">O68/SUM($O68:$Q68)</f>
        <v>0.0128778678807227</v>
      </c>
      <c r="S68" s="9" t="n">
        <f aca="false">P68/SUM($O68:$Q68)</f>
        <v>0.97346034922787</v>
      </c>
      <c r="T68" s="9" t="n">
        <f aca="false">Q68/SUM($O68:$Q68)</f>
        <v>0.0136617828914071</v>
      </c>
      <c r="U68" s="9" t="n">
        <v>0.012877868</v>
      </c>
      <c r="V68" s="9" t="n">
        <v>0.9734604</v>
      </c>
      <c r="W68" s="9" t="n">
        <v>0.013661787</v>
      </c>
    </row>
    <row r="69" customFormat="false" ht="12.8" hidden="false" customHeight="false" outlineLevel="0" collapsed="false">
      <c r="A69" s="0" t="n">
        <v>65</v>
      </c>
      <c r="B69" s="0" t="n">
        <v>6.7</v>
      </c>
      <c r="C69" s="0" t="n">
        <v>3.1</v>
      </c>
      <c r="D69" s="0" t="n">
        <v>4.4</v>
      </c>
      <c r="E69" s="0" t="n">
        <v>1.4</v>
      </c>
      <c r="F69" s="6" t="n">
        <f aca="false">XGB_PREDICT(B69,C69,D69,E69,0)+0.5</f>
        <v>-1.5419213694</v>
      </c>
      <c r="G69" s="0" t="n">
        <f aca="false">XGB_PREDICT(B69,C69,D69,E69,1)+0.5</f>
        <v>2.7834255547</v>
      </c>
      <c r="H69" s="7" t="n">
        <f aca="false">XGB_PREDICT(B69,C69,D69,E69,2)+0.5</f>
        <v>-1.4828291744</v>
      </c>
      <c r="I69" s="0" t="n">
        <v>-1.5419214</v>
      </c>
      <c r="J69" s="0" t="n">
        <v>2.7834253</v>
      </c>
      <c r="K69" s="0" t="n">
        <v>-1.4828291</v>
      </c>
      <c r="L69" s="8" t="n">
        <f aca="false">ABS(F69-I69)&gt;0.000001</f>
        <v>0</v>
      </c>
      <c r="M69" s="8" t="n">
        <f aca="false">ABS(G69-J69)&gt;0.000001</f>
        <v>0</v>
      </c>
      <c r="N69" s="8" t="n">
        <f aca="false">ABS(H69-K69)&gt;0.000001</f>
        <v>0</v>
      </c>
      <c r="O69" s="0" t="n">
        <f aca="false">EXP(F69)</f>
        <v>0.213969591596552</v>
      </c>
      <c r="P69" s="0" t="n">
        <f aca="false">EXP(G69)</f>
        <v>16.1743322177984</v>
      </c>
      <c r="Q69" s="0" t="n">
        <f aca="false">EXP(H69)</f>
        <v>0.226994571836769</v>
      </c>
      <c r="R69" s="9" t="n">
        <f aca="false">O69/SUM($O69:$Q69)</f>
        <v>0.0128778678807227</v>
      </c>
      <c r="S69" s="9" t="n">
        <f aca="false">P69/SUM($O69:$Q69)</f>
        <v>0.97346034922787</v>
      </c>
      <c r="T69" s="9" t="n">
        <f aca="false">Q69/SUM($O69:$Q69)</f>
        <v>0.0136617828914071</v>
      </c>
      <c r="U69" s="9" t="n">
        <v>0.012877868</v>
      </c>
      <c r="V69" s="9" t="n">
        <v>0.9734604</v>
      </c>
      <c r="W69" s="9" t="n">
        <v>0.013661787</v>
      </c>
    </row>
    <row r="70" customFormat="false" ht="12.8" hidden="false" customHeight="false" outlineLevel="0" collapsed="false">
      <c r="A70" s="0" t="n">
        <v>66</v>
      </c>
      <c r="B70" s="0" t="n">
        <v>5.6</v>
      </c>
      <c r="C70" s="0" t="n">
        <v>3</v>
      </c>
      <c r="D70" s="0" t="n">
        <v>4.5</v>
      </c>
      <c r="E70" s="0" t="n">
        <v>1.5</v>
      </c>
      <c r="F70" s="6" t="n">
        <f aca="false">XGB_PREDICT(B70,C70,D70,E70,0)+0.5</f>
        <v>-1.5419213694</v>
      </c>
      <c r="G70" s="0" t="n">
        <f aca="false">XGB_PREDICT(B70,C70,D70,E70,1)+0.5</f>
        <v>2.7834255547</v>
      </c>
      <c r="H70" s="7" t="n">
        <f aca="false">XGB_PREDICT(B70,C70,D70,E70,2)+0.5</f>
        <v>-0.32262111150897</v>
      </c>
      <c r="I70" s="0" t="n">
        <v>-1.5419214</v>
      </c>
      <c r="J70" s="0" t="n">
        <v>2.7834253</v>
      </c>
      <c r="K70" s="0" t="n">
        <v>-0.32262117</v>
      </c>
      <c r="L70" s="8" t="n">
        <f aca="false">ABS(F70-I70)&gt;0.000001</f>
        <v>0</v>
      </c>
      <c r="M70" s="8" t="n">
        <f aca="false">ABS(G70-J70)&gt;0.000001</f>
        <v>0</v>
      </c>
      <c r="N70" s="8" t="n">
        <f aca="false">ABS(H70-K70)&gt;0.000001</f>
        <v>0</v>
      </c>
      <c r="O70" s="0" t="n">
        <f aca="false">EXP(F70)</f>
        <v>0.213969591596552</v>
      </c>
      <c r="P70" s="0" t="n">
        <f aca="false">EXP(G70)</f>
        <v>16.1743322177984</v>
      </c>
      <c r="Q70" s="0" t="n">
        <f aca="false">EXP(H70)</f>
        <v>0.724248211701278</v>
      </c>
      <c r="R70" s="9" t="n">
        <f aca="false">O70/SUM($O70:$Q70)</f>
        <v>0.0125036649320395</v>
      </c>
      <c r="S70" s="9" t="n">
        <f aca="false">P70/SUM($O70:$Q70)</f>
        <v>0.945173699878674</v>
      </c>
      <c r="T70" s="9" t="n">
        <f aca="false">Q70/SUM($O70:$Q70)</f>
        <v>0.0423226351892869</v>
      </c>
      <c r="U70" s="9" t="n">
        <v>0.012503664</v>
      </c>
      <c r="V70" s="9" t="n">
        <v>0.9451736</v>
      </c>
      <c r="W70" s="9" t="n">
        <v>0.04232264</v>
      </c>
    </row>
    <row r="71" customFormat="false" ht="12.8" hidden="false" customHeight="false" outlineLevel="0" collapsed="false">
      <c r="A71" s="0" t="n">
        <v>67</v>
      </c>
      <c r="B71" s="0" t="n">
        <v>5.8</v>
      </c>
      <c r="C71" s="0" t="n">
        <v>2.7</v>
      </c>
      <c r="D71" s="0" t="n">
        <v>4.1</v>
      </c>
      <c r="E71" s="0" t="n">
        <v>1</v>
      </c>
      <c r="F71" s="6" t="n">
        <f aca="false">XGB_PREDICT(B71,C71,D71,E71,0)+0.5</f>
        <v>-1.5419213694</v>
      </c>
      <c r="G71" s="0" t="n">
        <f aca="false">XGB_PREDICT(B71,C71,D71,E71,1)+0.5</f>
        <v>2.7834255547</v>
      </c>
      <c r="H71" s="7" t="n">
        <f aca="false">XGB_PREDICT(B71,C71,D71,E71,2)+0.5</f>
        <v>-1.4828291744</v>
      </c>
      <c r="I71" s="0" t="n">
        <v>-1.5419214</v>
      </c>
      <c r="J71" s="0" t="n">
        <v>2.7834253</v>
      </c>
      <c r="K71" s="0" t="n">
        <v>-1.4828291</v>
      </c>
      <c r="L71" s="8" t="n">
        <f aca="false">ABS(F71-I71)&gt;0.000001</f>
        <v>0</v>
      </c>
      <c r="M71" s="8" t="n">
        <f aca="false">ABS(G71-J71)&gt;0.000001</f>
        <v>0</v>
      </c>
      <c r="N71" s="8" t="n">
        <f aca="false">ABS(H71-K71)&gt;0.000001</f>
        <v>0</v>
      </c>
      <c r="O71" s="0" t="n">
        <f aca="false">EXP(F71)</f>
        <v>0.213969591596552</v>
      </c>
      <c r="P71" s="0" t="n">
        <f aca="false">EXP(G71)</f>
        <v>16.1743322177984</v>
      </c>
      <c r="Q71" s="0" t="n">
        <f aca="false">EXP(H71)</f>
        <v>0.226994571836769</v>
      </c>
      <c r="R71" s="9" t="n">
        <f aca="false">O71/SUM($O71:$Q71)</f>
        <v>0.0128778678807227</v>
      </c>
      <c r="S71" s="9" t="n">
        <f aca="false">P71/SUM($O71:$Q71)</f>
        <v>0.97346034922787</v>
      </c>
      <c r="T71" s="9" t="n">
        <f aca="false">Q71/SUM($O71:$Q71)</f>
        <v>0.0136617828914071</v>
      </c>
      <c r="U71" s="9" t="n">
        <v>0.012877868</v>
      </c>
      <c r="V71" s="9" t="n">
        <v>0.9734604</v>
      </c>
      <c r="W71" s="9" t="n">
        <v>0.013661787</v>
      </c>
    </row>
    <row r="72" customFormat="false" ht="12.8" hidden="false" customHeight="false" outlineLevel="0" collapsed="false">
      <c r="A72" s="0" t="n">
        <v>68</v>
      </c>
      <c r="B72" s="0" t="n">
        <v>6.2</v>
      </c>
      <c r="C72" s="0" t="n">
        <v>2.2</v>
      </c>
      <c r="D72" s="0" t="n">
        <v>4.5</v>
      </c>
      <c r="E72" s="0" t="n">
        <v>1.5</v>
      </c>
      <c r="F72" s="6" t="n">
        <f aca="false">XGB_PREDICT(B72,C72,D72,E72,0)+0.5</f>
        <v>-1.5419213694</v>
      </c>
      <c r="G72" s="0" t="n">
        <f aca="false">XGB_PREDICT(B72,C72,D72,E72,1)+0.5</f>
        <v>2.6123737991</v>
      </c>
      <c r="H72" s="7" t="n">
        <f aca="false">XGB_PREDICT(B72,C72,D72,E72,2)+0.5</f>
        <v>-0.1118177698</v>
      </c>
      <c r="I72" s="0" t="n">
        <v>-1.5419214</v>
      </c>
      <c r="J72" s="0" t="n">
        <v>2.6123738</v>
      </c>
      <c r="K72" s="0" t="n">
        <v>-0.11181784</v>
      </c>
      <c r="L72" s="8" t="n">
        <f aca="false">ABS(F72-I72)&gt;0.000001</f>
        <v>0</v>
      </c>
      <c r="M72" s="8" t="n">
        <f aca="false">ABS(G72-J72)&gt;0.000001</f>
        <v>0</v>
      </c>
      <c r="N72" s="8" t="n">
        <f aca="false">ABS(H72-K72)&gt;0.000001</f>
        <v>0</v>
      </c>
      <c r="O72" s="0" t="n">
        <f aca="false">EXP(F72)</f>
        <v>0.213969591596552</v>
      </c>
      <c r="P72" s="0" t="n">
        <f aca="false">EXP(G72)</f>
        <v>13.6313706116356</v>
      </c>
      <c r="Q72" s="0" t="n">
        <f aca="false">EXP(H72)</f>
        <v>0.894207194209754</v>
      </c>
      <c r="R72" s="9" t="n">
        <f aca="false">O72/SUM($O72:$Q72)</f>
        <v>0.0145167002640588</v>
      </c>
      <c r="S72" s="9" t="n">
        <f aca="false">P72/SUM($O72:$Q72)</f>
        <v>0.924816091300155</v>
      </c>
      <c r="T72" s="9" t="n">
        <f aca="false">Q72/SUM($O72:$Q72)</f>
        <v>0.0606672084357858</v>
      </c>
      <c r="U72" s="9" t="n">
        <v>0.014516702</v>
      </c>
      <c r="V72" s="9" t="n">
        <v>0.9248161</v>
      </c>
      <c r="W72" s="9" t="n">
        <v>0.060667206</v>
      </c>
    </row>
    <row r="73" customFormat="false" ht="12.8" hidden="false" customHeight="false" outlineLevel="0" collapsed="false">
      <c r="A73" s="0" t="n">
        <v>69</v>
      </c>
      <c r="B73" s="0" t="n">
        <v>5.6</v>
      </c>
      <c r="C73" s="0" t="n">
        <v>2.5</v>
      </c>
      <c r="D73" s="0" t="n">
        <v>3.9</v>
      </c>
      <c r="E73" s="0" t="n">
        <v>1.1</v>
      </c>
      <c r="F73" s="6" t="n">
        <f aca="false">XGB_PREDICT(B73,C73,D73,E73,0)+0.5</f>
        <v>-1.5419213694</v>
      </c>
      <c r="G73" s="0" t="n">
        <f aca="false">XGB_PREDICT(B73,C73,D73,E73,1)+0.5</f>
        <v>2.6123737991</v>
      </c>
      <c r="H73" s="7" t="n">
        <f aca="false">XGB_PREDICT(B73,C73,D73,E73,2)+0.5</f>
        <v>-1.4471156736</v>
      </c>
      <c r="I73" s="0" t="n">
        <v>-1.5419214</v>
      </c>
      <c r="J73" s="0" t="n">
        <v>2.6123738</v>
      </c>
      <c r="K73" s="0" t="n">
        <v>-1.4471157</v>
      </c>
      <c r="L73" s="8" t="n">
        <f aca="false">ABS(F73-I73)&gt;0.000001</f>
        <v>0</v>
      </c>
      <c r="M73" s="8" t="n">
        <f aca="false">ABS(G73-J73)&gt;0.000001</f>
        <v>0</v>
      </c>
      <c r="N73" s="8" t="n">
        <f aca="false">ABS(H73-K73)&gt;0.000001</f>
        <v>0</v>
      </c>
      <c r="O73" s="0" t="n">
        <f aca="false">EXP(F73)</f>
        <v>0.213969591596552</v>
      </c>
      <c r="P73" s="0" t="n">
        <f aca="false">EXP(G73)</f>
        <v>13.6313706116356</v>
      </c>
      <c r="Q73" s="0" t="n">
        <f aca="false">EXP(H73)</f>
        <v>0.235247842042039</v>
      </c>
      <c r="R73" s="9" t="n">
        <f aca="false">O73/SUM($O73:$Q73)</f>
        <v>0.0151960692911803</v>
      </c>
      <c r="S73" s="9" t="n">
        <f aca="false">P73/SUM($O73:$Q73)</f>
        <v>0.968096685153049</v>
      </c>
      <c r="T73" s="9" t="n">
        <f aca="false">Q73/SUM($O73:$Q73)</f>
        <v>0.0167072455557702</v>
      </c>
      <c r="U73" s="9" t="n">
        <v>0.015196072</v>
      </c>
      <c r="V73" s="9" t="n">
        <v>0.9680967</v>
      </c>
      <c r="W73" s="9" t="n">
        <v>0.016707249</v>
      </c>
    </row>
    <row r="74" customFormat="false" ht="12.8" hidden="false" customHeight="false" outlineLevel="0" collapsed="false">
      <c r="A74" s="0" t="n">
        <v>70</v>
      </c>
      <c r="B74" s="0" t="n">
        <v>5.9</v>
      </c>
      <c r="C74" s="0" t="n">
        <v>3.2</v>
      </c>
      <c r="D74" s="0" t="n">
        <v>4.8</v>
      </c>
      <c r="E74" s="0" t="n">
        <v>1.8</v>
      </c>
      <c r="F74" s="6" t="n">
        <f aca="false">XGB_PREDICT(B74,C74,D74,E74,0)+0.5</f>
        <v>-1.5419213694</v>
      </c>
      <c r="G74" s="0" t="n">
        <f aca="false">XGB_PREDICT(B74,C74,D74,E74,1)+0.5</f>
        <v>0.35422872555103</v>
      </c>
      <c r="H74" s="7" t="n">
        <f aca="false">XGB_PREDICT(B74,C74,D74,E74,2)+0.5</f>
        <v>0.49377076409</v>
      </c>
      <c r="I74" s="0" t="n">
        <v>-1.5419214</v>
      </c>
      <c r="J74" s="0" t="n">
        <v>0.35422873</v>
      </c>
      <c r="K74" s="0" t="n">
        <v>0.49377078</v>
      </c>
      <c r="L74" s="8" t="n">
        <f aca="false">ABS(F74-I74)&gt;0.000001</f>
        <v>0</v>
      </c>
      <c r="M74" s="8" t="n">
        <f aca="false">ABS(G74-J74)&gt;0.000001</f>
        <v>0</v>
      </c>
      <c r="N74" s="8" t="n">
        <f aca="false">ABS(H74-K74)&gt;0.000001</f>
        <v>0</v>
      </c>
      <c r="O74" s="0" t="n">
        <f aca="false">EXP(F74)</f>
        <v>0.213969591596552</v>
      </c>
      <c r="P74" s="0" t="n">
        <f aca="false">EXP(G74)</f>
        <v>1.42508110166614</v>
      </c>
      <c r="Q74" s="0" t="n">
        <f aca="false">EXP(H74)</f>
        <v>1.6384829186172</v>
      </c>
      <c r="R74" s="9" t="n">
        <f aca="false">O74/SUM($O74:$Q74)</f>
        <v>0.065283721521875</v>
      </c>
      <c r="S74" s="9" t="n">
        <f aca="false">P74/SUM($O74:$Q74)</f>
        <v>0.43480289462196</v>
      </c>
      <c r="T74" s="9" t="n">
        <f aca="false">Q74/SUM($O74:$Q74)</f>
        <v>0.499913383856165</v>
      </c>
      <c r="U74" s="9" t="n">
        <v>0.065283716</v>
      </c>
      <c r="V74" s="9" t="n">
        <v>0.43480292</v>
      </c>
      <c r="W74" s="9" t="n">
        <v>0.49991342</v>
      </c>
    </row>
    <row r="75" customFormat="false" ht="12.8" hidden="false" customHeight="false" outlineLevel="0" collapsed="false">
      <c r="A75" s="0" t="n">
        <v>71</v>
      </c>
      <c r="B75" s="0" t="n">
        <v>6.1</v>
      </c>
      <c r="C75" s="0" t="n">
        <v>2.8</v>
      </c>
      <c r="D75" s="0" t="n">
        <v>4</v>
      </c>
      <c r="E75" s="0" t="n">
        <v>1.3</v>
      </c>
      <c r="F75" s="6" t="n">
        <f aca="false">XGB_PREDICT(B75,C75,D75,E75,0)+0.5</f>
        <v>-1.5419213694</v>
      </c>
      <c r="G75" s="0" t="n">
        <f aca="false">XGB_PREDICT(B75,C75,D75,E75,1)+0.5</f>
        <v>2.7834255547</v>
      </c>
      <c r="H75" s="7" t="n">
        <f aca="false">XGB_PREDICT(B75,C75,D75,E75,2)+0.5</f>
        <v>-1.4828291744</v>
      </c>
      <c r="I75" s="0" t="n">
        <v>-1.5419214</v>
      </c>
      <c r="J75" s="0" t="n">
        <v>2.7834253</v>
      </c>
      <c r="K75" s="0" t="n">
        <v>-1.4828291</v>
      </c>
      <c r="L75" s="8" t="n">
        <f aca="false">ABS(F75-I75)&gt;0.000001</f>
        <v>0</v>
      </c>
      <c r="M75" s="8" t="n">
        <f aca="false">ABS(G75-J75)&gt;0.000001</f>
        <v>0</v>
      </c>
      <c r="N75" s="8" t="n">
        <f aca="false">ABS(H75-K75)&gt;0.000001</f>
        <v>0</v>
      </c>
      <c r="O75" s="0" t="n">
        <f aca="false">EXP(F75)</f>
        <v>0.213969591596552</v>
      </c>
      <c r="P75" s="0" t="n">
        <f aca="false">EXP(G75)</f>
        <v>16.1743322177984</v>
      </c>
      <c r="Q75" s="0" t="n">
        <f aca="false">EXP(H75)</f>
        <v>0.226994571836769</v>
      </c>
      <c r="R75" s="9" t="n">
        <f aca="false">O75/SUM($O75:$Q75)</f>
        <v>0.0128778678807227</v>
      </c>
      <c r="S75" s="9" t="n">
        <f aca="false">P75/SUM($O75:$Q75)</f>
        <v>0.97346034922787</v>
      </c>
      <c r="T75" s="9" t="n">
        <f aca="false">Q75/SUM($O75:$Q75)</f>
        <v>0.0136617828914071</v>
      </c>
      <c r="U75" s="9" t="n">
        <v>0.012877868</v>
      </c>
      <c r="V75" s="9" t="n">
        <v>0.9734604</v>
      </c>
      <c r="W75" s="9" t="n">
        <v>0.013661787</v>
      </c>
    </row>
    <row r="76" customFormat="false" ht="12.8" hidden="false" customHeight="false" outlineLevel="0" collapsed="false">
      <c r="A76" s="0" t="n">
        <v>72</v>
      </c>
      <c r="B76" s="0" t="n">
        <v>6.3</v>
      </c>
      <c r="C76" s="0" t="n">
        <v>2.5</v>
      </c>
      <c r="D76" s="0" t="n">
        <v>4.9</v>
      </c>
      <c r="E76" s="0" t="n">
        <v>1.5</v>
      </c>
      <c r="F76" s="6" t="n">
        <f aca="false">XGB_PREDICT(B76,C76,D76,E76,0)+0.5</f>
        <v>-1.5419213694</v>
      </c>
      <c r="G76" s="0" t="n">
        <f aca="false">XGB_PREDICT(B76,C76,D76,E76,1)+0.5</f>
        <v>2.6123737991</v>
      </c>
      <c r="H76" s="7" t="n">
        <f aca="false">XGB_PREDICT(B76,C76,D76,E76,2)+0.5</f>
        <v>0.6217544732</v>
      </c>
      <c r="I76" s="0" t="n">
        <v>-1.5419214</v>
      </c>
      <c r="J76" s="0" t="n">
        <v>2.6123738</v>
      </c>
      <c r="K76" s="0" t="n">
        <v>0.62175447</v>
      </c>
      <c r="L76" s="8" t="n">
        <f aca="false">ABS(F76-I76)&gt;0.000001</f>
        <v>0</v>
      </c>
      <c r="M76" s="8" t="n">
        <f aca="false">ABS(G76-J76)&gt;0.000001</f>
        <v>0</v>
      </c>
      <c r="N76" s="8" t="n">
        <f aca="false">ABS(H76-K76)&gt;0.000001</f>
        <v>0</v>
      </c>
      <c r="O76" s="0" t="n">
        <f aca="false">EXP(F76)</f>
        <v>0.213969591596552</v>
      </c>
      <c r="P76" s="0" t="n">
        <f aca="false">EXP(G76)</f>
        <v>13.6313706116356</v>
      </c>
      <c r="Q76" s="0" t="n">
        <f aca="false">EXP(H76)</f>
        <v>1.86219234400448</v>
      </c>
      <c r="R76" s="9" t="n">
        <f aca="false">O76/SUM($O76:$Q76)</f>
        <v>0.0136221007948314</v>
      </c>
      <c r="S76" s="9" t="n">
        <f aca="false">P76/SUM($O76:$Q76)</f>
        <v>0.867823801774246</v>
      </c>
      <c r="T76" s="9" t="n">
        <f aca="false">Q76/SUM($O76:$Q76)</f>
        <v>0.118554097430922</v>
      </c>
      <c r="U76" s="9" t="n">
        <v>0.013622103</v>
      </c>
      <c r="V76" s="9" t="n">
        <v>0.86782384</v>
      </c>
      <c r="W76" s="9" t="n">
        <v>0.118554085</v>
      </c>
    </row>
    <row r="77" customFormat="false" ht="12.8" hidden="false" customHeight="false" outlineLevel="0" collapsed="false">
      <c r="A77" s="0" t="n">
        <v>73</v>
      </c>
      <c r="B77" s="0" t="n">
        <v>6.1</v>
      </c>
      <c r="C77" s="0" t="n">
        <v>2.8</v>
      </c>
      <c r="D77" s="0" t="n">
        <v>4.7</v>
      </c>
      <c r="E77" s="0" t="n">
        <v>1.2</v>
      </c>
      <c r="F77" s="6" t="n">
        <f aca="false">XGB_PREDICT(B77,C77,D77,E77,0)+0.5</f>
        <v>-1.5419213694</v>
      </c>
      <c r="G77" s="0" t="n">
        <f aca="false">XGB_PREDICT(B77,C77,D77,E77,1)+0.5</f>
        <v>2.7834255547</v>
      </c>
      <c r="H77" s="7" t="n">
        <f aca="false">XGB_PREDICT(B77,C77,D77,E77,2)+0.5</f>
        <v>-0.622217976</v>
      </c>
      <c r="I77" s="0" t="n">
        <v>-1.5419214</v>
      </c>
      <c r="J77" s="0" t="n">
        <v>2.7834253</v>
      </c>
      <c r="K77" s="0" t="n">
        <v>-0.6222178</v>
      </c>
      <c r="L77" s="8" t="n">
        <f aca="false">ABS(F77-I77)&gt;0.000001</f>
        <v>0</v>
      </c>
      <c r="M77" s="8" t="n">
        <f aca="false">ABS(G77-J77)&gt;0.000001</f>
        <v>0</v>
      </c>
      <c r="N77" s="8" t="n">
        <f aca="false">ABS(H77-K77)&gt;0.000001</f>
        <v>0</v>
      </c>
      <c r="O77" s="0" t="n">
        <f aca="false">EXP(F77)</f>
        <v>0.213969591596552</v>
      </c>
      <c r="P77" s="0" t="n">
        <f aca="false">EXP(G77)</f>
        <v>16.1743322177984</v>
      </c>
      <c r="Q77" s="0" t="n">
        <f aca="false">EXP(H77)</f>
        <v>0.536752611951683</v>
      </c>
      <c r="R77" s="9" t="n">
        <f aca="false">O77/SUM($O77:$Q77)</f>
        <v>0.0126421804190292</v>
      </c>
      <c r="S77" s="9" t="n">
        <f aca="false">P77/SUM($O77:$Q77)</f>
        <v>0.955644325574434</v>
      </c>
      <c r="T77" s="9" t="n">
        <f aca="false">Q77/SUM($O77:$Q77)</f>
        <v>0.0317134940065367</v>
      </c>
      <c r="U77" s="9" t="n">
        <v>0.012642181</v>
      </c>
      <c r="V77" s="9" t="n">
        <v>0.95564437</v>
      </c>
      <c r="W77" s="9" t="n">
        <v>0.03171351</v>
      </c>
    </row>
    <row r="78" customFormat="false" ht="12.8" hidden="false" customHeight="false" outlineLevel="0" collapsed="false">
      <c r="A78" s="0" t="n">
        <v>74</v>
      </c>
      <c r="B78" s="0" t="n">
        <v>6.4</v>
      </c>
      <c r="C78" s="0" t="n">
        <v>2.9</v>
      </c>
      <c r="D78" s="0" t="n">
        <v>4.3</v>
      </c>
      <c r="E78" s="0" t="n">
        <v>1.3</v>
      </c>
      <c r="F78" s="6" t="n">
        <f aca="false">XGB_PREDICT(B78,C78,D78,E78,0)+0.5</f>
        <v>-1.5419213694</v>
      </c>
      <c r="G78" s="0" t="n">
        <f aca="false">XGB_PREDICT(B78,C78,D78,E78,1)+0.5</f>
        <v>2.7834255547</v>
      </c>
      <c r="H78" s="7" t="n">
        <f aca="false">XGB_PREDICT(B78,C78,D78,E78,2)+0.5</f>
        <v>-1.4828291744</v>
      </c>
      <c r="I78" s="0" t="n">
        <v>-1.5419214</v>
      </c>
      <c r="J78" s="0" t="n">
        <v>2.7834253</v>
      </c>
      <c r="K78" s="0" t="n">
        <v>-1.4828291</v>
      </c>
      <c r="L78" s="8" t="n">
        <f aca="false">ABS(F78-I78)&gt;0.000001</f>
        <v>0</v>
      </c>
      <c r="M78" s="8" t="n">
        <f aca="false">ABS(G78-J78)&gt;0.000001</f>
        <v>0</v>
      </c>
      <c r="N78" s="8" t="n">
        <f aca="false">ABS(H78-K78)&gt;0.000001</f>
        <v>0</v>
      </c>
      <c r="O78" s="0" t="n">
        <f aca="false">EXP(F78)</f>
        <v>0.213969591596552</v>
      </c>
      <c r="P78" s="0" t="n">
        <f aca="false">EXP(G78)</f>
        <v>16.1743322177984</v>
      </c>
      <c r="Q78" s="0" t="n">
        <f aca="false">EXP(H78)</f>
        <v>0.226994571836769</v>
      </c>
      <c r="R78" s="9" t="n">
        <f aca="false">O78/SUM($O78:$Q78)</f>
        <v>0.0128778678807227</v>
      </c>
      <c r="S78" s="9" t="n">
        <f aca="false">P78/SUM($O78:$Q78)</f>
        <v>0.97346034922787</v>
      </c>
      <c r="T78" s="9" t="n">
        <f aca="false">Q78/SUM($O78:$Q78)</f>
        <v>0.0136617828914071</v>
      </c>
      <c r="U78" s="9" t="n">
        <v>0.012877868</v>
      </c>
      <c r="V78" s="9" t="n">
        <v>0.9734604</v>
      </c>
      <c r="W78" s="9" t="n">
        <v>0.013661787</v>
      </c>
    </row>
    <row r="79" customFormat="false" ht="12.8" hidden="false" customHeight="false" outlineLevel="0" collapsed="false">
      <c r="A79" s="0" t="n">
        <v>75</v>
      </c>
      <c r="B79" s="0" t="n">
        <v>6.6</v>
      </c>
      <c r="C79" s="0" t="n">
        <v>3</v>
      </c>
      <c r="D79" s="0" t="n">
        <v>4.4</v>
      </c>
      <c r="E79" s="0" t="n">
        <v>1.4</v>
      </c>
      <c r="F79" s="6" t="n">
        <f aca="false">XGB_PREDICT(B79,C79,D79,E79,0)+0.5</f>
        <v>-1.5419213694</v>
      </c>
      <c r="G79" s="0" t="n">
        <f aca="false">XGB_PREDICT(B79,C79,D79,E79,1)+0.5</f>
        <v>2.7834255547</v>
      </c>
      <c r="H79" s="7" t="n">
        <f aca="false">XGB_PREDICT(B79,C79,D79,E79,2)+0.5</f>
        <v>-1.4828291744</v>
      </c>
      <c r="I79" s="0" t="n">
        <v>-1.5419214</v>
      </c>
      <c r="J79" s="0" t="n">
        <v>2.7834253</v>
      </c>
      <c r="K79" s="0" t="n">
        <v>-1.4828291</v>
      </c>
      <c r="L79" s="8" t="n">
        <f aca="false">ABS(F79-I79)&gt;0.000001</f>
        <v>0</v>
      </c>
      <c r="M79" s="8" t="n">
        <f aca="false">ABS(G79-J79)&gt;0.000001</f>
        <v>0</v>
      </c>
      <c r="N79" s="8" t="n">
        <f aca="false">ABS(H79-K79)&gt;0.000001</f>
        <v>0</v>
      </c>
      <c r="O79" s="0" t="n">
        <f aca="false">EXP(F79)</f>
        <v>0.213969591596552</v>
      </c>
      <c r="P79" s="0" t="n">
        <f aca="false">EXP(G79)</f>
        <v>16.1743322177984</v>
      </c>
      <c r="Q79" s="0" t="n">
        <f aca="false">EXP(H79)</f>
        <v>0.226994571836769</v>
      </c>
      <c r="R79" s="9" t="n">
        <f aca="false">O79/SUM($O79:$Q79)</f>
        <v>0.0128778678807227</v>
      </c>
      <c r="S79" s="9" t="n">
        <f aca="false">P79/SUM($O79:$Q79)</f>
        <v>0.97346034922787</v>
      </c>
      <c r="T79" s="9" t="n">
        <f aca="false">Q79/SUM($O79:$Q79)</f>
        <v>0.0136617828914071</v>
      </c>
      <c r="U79" s="9" t="n">
        <v>0.012877868</v>
      </c>
      <c r="V79" s="9" t="n">
        <v>0.9734604</v>
      </c>
      <c r="W79" s="9" t="n">
        <v>0.013661787</v>
      </c>
    </row>
    <row r="80" customFormat="false" ht="12.8" hidden="false" customHeight="false" outlineLevel="0" collapsed="false">
      <c r="A80" s="0" t="n">
        <v>76</v>
      </c>
      <c r="B80" s="0" t="n">
        <v>6.8</v>
      </c>
      <c r="C80" s="0" t="n">
        <v>2.8</v>
      </c>
      <c r="D80" s="0" t="n">
        <v>4.8</v>
      </c>
      <c r="E80" s="0" t="n">
        <v>1.4</v>
      </c>
      <c r="F80" s="6" t="n">
        <f aca="false">XGB_PREDICT(B80,C80,D80,E80,0)+0.5</f>
        <v>-1.5419213694</v>
      </c>
      <c r="G80" s="0" t="n">
        <f aca="false">XGB_PREDICT(B80,C80,D80,E80,1)+0.5</f>
        <v>2.7834255547</v>
      </c>
      <c r="H80" s="7" t="n">
        <f aca="false">XGB_PREDICT(B80,C80,D80,E80,2)+0.5</f>
        <v>0.5313894601</v>
      </c>
      <c r="I80" s="0" t="n">
        <v>-1.5419214</v>
      </c>
      <c r="J80" s="0" t="n">
        <v>2.7834253</v>
      </c>
      <c r="K80" s="0" t="n">
        <v>0.5313895</v>
      </c>
      <c r="L80" s="8" t="n">
        <f aca="false">ABS(F80-I80)&gt;0.000001</f>
        <v>0</v>
      </c>
      <c r="M80" s="8" t="n">
        <f aca="false">ABS(G80-J80)&gt;0.000001</f>
        <v>0</v>
      </c>
      <c r="N80" s="8" t="n">
        <f aca="false">ABS(H80-K80)&gt;0.000001</f>
        <v>0</v>
      </c>
      <c r="O80" s="0" t="n">
        <f aca="false">EXP(F80)</f>
        <v>0.213969591596552</v>
      </c>
      <c r="P80" s="0" t="n">
        <f aca="false">EXP(G80)</f>
        <v>16.1743322177984</v>
      </c>
      <c r="Q80" s="0" t="n">
        <f aca="false">EXP(H80)</f>
        <v>1.70129454801262</v>
      </c>
      <c r="R80" s="9" t="n">
        <f aca="false">O80/SUM($O80:$Q80)</f>
        <v>0.011828323162608</v>
      </c>
      <c r="S80" s="9" t="n">
        <f aca="false">P80/SUM($O80:$Q80)</f>
        <v>0.894123445224089</v>
      </c>
      <c r="T80" s="9" t="n">
        <f aca="false">Q80/SUM($O80:$Q80)</f>
        <v>0.0940482316133029</v>
      </c>
      <c r="U80" s="9" t="n">
        <v>0.011828323</v>
      </c>
      <c r="V80" s="9" t="n">
        <v>0.89412344</v>
      </c>
      <c r="W80" s="9" t="n">
        <v>0.094048254</v>
      </c>
    </row>
    <row r="81" customFormat="false" ht="12.8" hidden="false" customHeight="false" outlineLevel="0" collapsed="false">
      <c r="A81" s="0" t="n">
        <v>77</v>
      </c>
      <c r="B81" s="0" t="n">
        <v>6.7</v>
      </c>
      <c r="C81" s="0" t="n">
        <v>3</v>
      </c>
      <c r="D81" s="0" t="n">
        <v>5</v>
      </c>
      <c r="E81" s="0" t="n">
        <v>1.7</v>
      </c>
      <c r="F81" s="6" t="n">
        <f aca="false">XGB_PREDICT(B81,C81,D81,E81,0)+0.5</f>
        <v>-1.5419213694</v>
      </c>
      <c r="G81" s="0" t="n">
        <f aca="false">XGB_PREDICT(B81,C81,D81,E81,1)+0.5</f>
        <v>0.622478612197675</v>
      </c>
      <c r="H81" s="7" t="n">
        <f aca="false">XGB_PREDICT(B81,C81,D81,E81,2)+0.5</f>
        <v>-0.03561397693</v>
      </c>
      <c r="I81" s="0" t="n">
        <v>-1.5419214</v>
      </c>
      <c r="J81" s="0" t="n">
        <v>0.6224786</v>
      </c>
      <c r="K81" s="0" t="n">
        <v>-0.035613954</v>
      </c>
      <c r="L81" s="8" t="n">
        <f aca="false">ABS(F81-I81)&gt;0.000001</f>
        <v>0</v>
      </c>
      <c r="M81" s="8" t="n">
        <f aca="false">ABS(G81-J81)&gt;0.000001</f>
        <v>0</v>
      </c>
      <c r="N81" s="8" t="n">
        <f aca="false">ABS(H81-K81)&gt;0.000001</f>
        <v>0</v>
      </c>
      <c r="O81" s="0" t="n">
        <f aca="false">EXP(F81)</f>
        <v>0.213969591596552</v>
      </c>
      <c r="P81" s="0" t="n">
        <f aca="false">EXP(G81)</f>
        <v>1.8635413184655</v>
      </c>
      <c r="Q81" s="0" t="n">
        <f aca="false">EXP(H81)</f>
        <v>0.965012738772271</v>
      </c>
      <c r="R81" s="9" t="n">
        <f aca="false">O81/SUM($O81:$Q81)</f>
        <v>0.0703263528217866</v>
      </c>
      <c r="S81" s="9" t="n">
        <f aca="false">P81/SUM($O81:$Q81)</f>
        <v>0.612498548426887</v>
      </c>
      <c r="T81" s="9" t="n">
        <f aca="false">Q81/SUM($O81:$Q81)</f>
        <v>0.317175098751326</v>
      </c>
      <c r="U81" s="9" t="n">
        <v>0.07032634</v>
      </c>
      <c r="V81" s="9" t="n">
        <v>0.6124985</v>
      </c>
      <c r="W81" s="9" t="n">
        <v>0.3171751</v>
      </c>
    </row>
    <row r="82" customFormat="false" ht="12.8" hidden="false" customHeight="false" outlineLevel="0" collapsed="false">
      <c r="A82" s="0" t="n">
        <v>78</v>
      </c>
      <c r="B82" s="0" t="n">
        <v>6</v>
      </c>
      <c r="C82" s="0" t="n">
        <v>2.9</v>
      </c>
      <c r="D82" s="0" t="n">
        <v>4.5</v>
      </c>
      <c r="E82" s="0" t="n">
        <v>1.5</v>
      </c>
      <c r="F82" s="6" t="n">
        <f aca="false">XGB_PREDICT(B82,C82,D82,E82,0)+0.5</f>
        <v>-1.5419213694</v>
      </c>
      <c r="G82" s="0" t="n">
        <f aca="false">XGB_PREDICT(B82,C82,D82,E82,1)+0.5</f>
        <v>2.7834255547</v>
      </c>
      <c r="H82" s="7" t="n">
        <f aca="false">XGB_PREDICT(B82,C82,D82,E82,2)+0.5</f>
        <v>-0.9900750421</v>
      </c>
      <c r="I82" s="0" t="n">
        <v>-1.5419214</v>
      </c>
      <c r="J82" s="0" t="n">
        <v>2.7834253</v>
      </c>
      <c r="K82" s="0" t="n">
        <v>-0.990075</v>
      </c>
      <c r="L82" s="8" t="n">
        <f aca="false">ABS(F82-I82)&gt;0.000001</f>
        <v>0</v>
      </c>
      <c r="M82" s="8" t="n">
        <f aca="false">ABS(G82-J82)&gt;0.000001</f>
        <v>0</v>
      </c>
      <c r="N82" s="8" t="n">
        <f aca="false">ABS(H82-K82)&gt;0.000001</f>
        <v>0</v>
      </c>
      <c r="O82" s="0" t="n">
        <f aca="false">EXP(F82)</f>
        <v>0.213969591596552</v>
      </c>
      <c r="P82" s="0" t="n">
        <f aca="false">EXP(G82)</f>
        <v>16.1743322177984</v>
      </c>
      <c r="Q82" s="0" t="n">
        <f aca="false">EXP(H82)</f>
        <v>0.371548808173047</v>
      </c>
      <c r="R82" s="9" t="n">
        <f aca="false">O82/SUM($O82:$Q82)</f>
        <v>0.0127667958670387</v>
      </c>
      <c r="S82" s="9" t="n">
        <f aca="false">P82/SUM($O82:$Q82)</f>
        <v>0.965064223236223</v>
      </c>
      <c r="T82" s="9" t="n">
        <f aca="false">Q82/SUM($O82:$Q82)</f>
        <v>0.022168980896738</v>
      </c>
      <c r="U82" s="9" t="n">
        <v>0.012766794</v>
      </c>
      <c r="V82" s="9" t="n">
        <v>0.96506417</v>
      </c>
      <c r="W82" s="9" t="n">
        <v>0.022168985</v>
      </c>
    </row>
    <row r="83" customFormat="false" ht="12.8" hidden="false" customHeight="false" outlineLevel="0" collapsed="false">
      <c r="A83" s="0" t="n">
        <v>79</v>
      </c>
      <c r="B83" s="0" t="n">
        <v>5.7</v>
      </c>
      <c r="C83" s="0" t="n">
        <v>2.6</v>
      </c>
      <c r="D83" s="0" t="n">
        <v>3.5</v>
      </c>
      <c r="E83" s="0" t="n">
        <v>1</v>
      </c>
      <c r="F83" s="6" t="n">
        <f aca="false">XGB_PREDICT(B83,C83,D83,E83,0)+0.5</f>
        <v>-1.5419213694</v>
      </c>
      <c r="G83" s="0" t="n">
        <f aca="false">XGB_PREDICT(B83,C83,D83,E83,1)+0.5</f>
        <v>2.6947938353</v>
      </c>
      <c r="H83" s="7" t="n">
        <f aca="false">XGB_PREDICT(B83,C83,D83,E83,2)+0.5</f>
        <v>-1.4828291744</v>
      </c>
      <c r="I83" s="0" t="n">
        <v>-1.5419214</v>
      </c>
      <c r="J83" s="0" t="n">
        <v>2.6947937</v>
      </c>
      <c r="K83" s="0" t="n">
        <v>-1.4828291</v>
      </c>
      <c r="L83" s="8" t="n">
        <f aca="false">ABS(F83-I83)&gt;0.000001</f>
        <v>0</v>
      </c>
      <c r="M83" s="8" t="n">
        <f aca="false">ABS(G83-J83)&gt;0.000001</f>
        <v>0</v>
      </c>
      <c r="N83" s="8" t="n">
        <f aca="false">ABS(H83-K83)&gt;0.000001</f>
        <v>0</v>
      </c>
      <c r="O83" s="0" t="n">
        <f aca="false">EXP(F83)</f>
        <v>0.213969591596552</v>
      </c>
      <c r="P83" s="0" t="n">
        <f aca="false">EXP(G83)</f>
        <v>14.80246669258</v>
      </c>
      <c r="Q83" s="0" t="n">
        <f aca="false">EXP(H83)</f>
        <v>0.226994571836769</v>
      </c>
      <c r="R83" s="9" t="n">
        <f aca="false">O83/SUM($O83:$Q83)</f>
        <v>0.0140368394502307</v>
      </c>
      <c r="S83" s="9" t="n">
        <f aca="false">P83/SUM($O83:$Q83)</f>
        <v>0.971071855962179</v>
      </c>
      <c r="T83" s="9" t="n">
        <f aca="false">Q83/SUM($O83:$Q83)</f>
        <v>0.0148913045875904</v>
      </c>
      <c r="U83" s="9" t="n">
        <v>0.014036838</v>
      </c>
      <c r="V83" s="9" t="n">
        <v>0.97107184</v>
      </c>
      <c r="W83" s="9" t="n">
        <v>0.014891307</v>
      </c>
    </row>
    <row r="84" customFormat="false" ht="12.8" hidden="false" customHeight="false" outlineLevel="0" collapsed="false">
      <c r="A84" s="0" t="n">
        <v>80</v>
      </c>
      <c r="B84" s="0" t="n">
        <v>5.5</v>
      </c>
      <c r="C84" s="0" t="n">
        <v>2.4</v>
      </c>
      <c r="D84" s="0" t="n">
        <v>3.8</v>
      </c>
      <c r="E84" s="0" t="n">
        <v>1.1</v>
      </c>
      <c r="F84" s="6" t="n">
        <f aca="false">XGB_PREDICT(B84,C84,D84,E84,0)+0.5</f>
        <v>-1.5419213694</v>
      </c>
      <c r="G84" s="0" t="n">
        <f aca="false">XGB_PREDICT(B84,C84,D84,E84,1)+0.5</f>
        <v>2.6123737991</v>
      </c>
      <c r="H84" s="7" t="n">
        <f aca="false">XGB_PREDICT(B84,C84,D84,E84,2)+0.5</f>
        <v>-1.4471156736</v>
      </c>
      <c r="I84" s="0" t="n">
        <v>-1.5419214</v>
      </c>
      <c r="J84" s="0" t="n">
        <v>2.6123738</v>
      </c>
      <c r="K84" s="0" t="n">
        <v>-1.4471157</v>
      </c>
      <c r="L84" s="8" t="n">
        <f aca="false">ABS(F84-I84)&gt;0.000001</f>
        <v>0</v>
      </c>
      <c r="M84" s="8" t="n">
        <f aca="false">ABS(G84-J84)&gt;0.000001</f>
        <v>0</v>
      </c>
      <c r="N84" s="8" t="n">
        <f aca="false">ABS(H84-K84)&gt;0.000001</f>
        <v>0</v>
      </c>
      <c r="O84" s="0" t="n">
        <f aca="false">EXP(F84)</f>
        <v>0.213969591596552</v>
      </c>
      <c r="P84" s="0" t="n">
        <f aca="false">EXP(G84)</f>
        <v>13.6313706116356</v>
      </c>
      <c r="Q84" s="0" t="n">
        <f aca="false">EXP(H84)</f>
        <v>0.235247842042039</v>
      </c>
      <c r="R84" s="9" t="n">
        <f aca="false">O84/SUM($O84:$Q84)</f>
        <v>0.0151960692911803</v>
      </c>
      <c r="S84" s="9" t="n">
        <f aca="false">P84/SUM($O84:$Q84)</f>
        <v>0.968096685153049</v>
      </c>
      <c r="T84" s="9" t="n">
        <f aca="false">Q84/SUM($O84:$Q84)</f>
        <v>0.0167072455557702</v>
      </c>
      <c r="U84" s="9" t="n">
        <v>0.015196072</v>
      </c>
      <c r="V84" s="9" t="n">
        <v>0.9680967</v>
      </c>
      <c r="W84" s="9" t="n">
        <v>0.016707249</v>
      </c>
    </row>
    <row r="85" customFormat="false" ht="12.8" hidden="false" customHeight="false" outlineLevel="0" collapsed="false">
      <c r="A85" s="0" t="n">
        <v>81</v>
      </c>
      <c r="B85" s="0" t="n">
        <v>5.5</v>
      </c>
      <c r="C85" s="0" t="n">
        <v>2.4</v>
      </c>
      <c r="D85" s="0" t="n">
        <v>3.7</v>
      </c>
      <c r="E85" s="0" t="n">
        <v>1</v>
      </c>
      <c r="F85" s="6" t="n">
        <f aca="false">XGB_PREDICT(B85,C85,D85,E85,0)+0.5</f>
        <v>-1.5419213694</v>
      </c>
      <c r="G85" s="0" t="n">
        <f aca="false">XGB_PREDICT(B85,C85,D85,E85,1)+0.5</f>
        <v>2.6123737991</v>
      </c>
      <c r="H85" s="7" t="n">
        <f aca="false">XGB_PREDICT(B85,C85,D85,E85,2)+0.5</f>
        <v>-1.4471156736</v>
      </c>
      <c r="I85" s="0" t="n">
        <v>-1.5419214</v>
      </c>
      <c r="J85" s="0" t="n">
        <v>2.6123738</v>
      </c>
      <c r="K85" s="0" t="n">
        <v>-1.4471157</v>
      </c>
      <c r="L85" s="8" t="n">
        <f aca="false">ABS(F85-I85)&gt;0.000001</f>
        <v>0</v>
      </c>
      <c r="M85" s="8" t="n">
        <f aca="false">ABS(G85-J85)&gt;0.000001</f>
        <v>0</v>
      </c>
      <c r="N85" s="8" t="n">
        <f aca="false">ABS(H85-K85)&gt;0.000001</f>
        <v>0</v>
      </c>
      <c r="O85" s="0" t="n">
        <f aca="false">EXP(F85)</f>
        <v>0.213969591596552</v>
      </c>
      <c r="P85" s="0" t="n">
        <f aca="false">EXP(G85)</f>
        <v>13.6313706116356</v>
      </c>
      <c r="Q85" s="0" t="n">
        <f aca="false">EXP(H85)</f>
        <v>0.235247842042039</v>
      </c>
      <c r="R85" s="9" t="n">
        <f aca="false">O85/SUM($O85:$Q85)</f>
        <v>0.0151960692911803</v>
      </c>
      <c r="S85" s="9" t="n">
        <f aca="false">P85/SUM($O85:$Q85)</f>
        <v>0.968096685153049</v>
      </c>
      <c r="T85" s="9" t="n">
        <f aca="false">Q85/SUM($O85:$Q85)</f>
        <v>0.0167072455557702</v>
      </c>
      <c r="U85" s="9" t="n">
        <v>0.015196072</v>
      </c>
      <c r="V85" s="9" t="n">
        <v>0.9680967</v>
      </c>
      <c r="W85" s="9" t="n">
        <v>0.016707249</v>
      </c>
    </row>
    <row r="86" customFormat="false" ht="12.8" hidden="false" customHeight="false" outlineLevel="0" collapsed="false">
      <c r="A86" s="0" t="n">
        <v>82</v>
      </c>
      <c r="B86" s="0" t="n">
        <v>5.8</v>
      </c>
      <c r="C86" s="0" t="n">
        <v>2.7</v>
      </c>
      <c r="D86" s="0" t="n">
        <v>3.9</v>
      </c>
      <c r="E86" s="0" t="n">
        <v>1.2</v>
      </c>
      <c r="F86" s="6" t="n">
        <f aca="false">XGB_PREDICT(B86,C86,D86,E86,0)+0.5</f>
        <v>-1.5419213694</v>
      </c>
      <c r="G86" s="0" t="n">
        <f aca="false">XGB_PREDICT(B86,C86,D86,E86,1)+0.5</f>
        <v>2.7834255547</v>
      </c>
      <c r="H86" s="7" t="n">
        <f aca="false">XGB_PREDICT(B86,C86,D86,E86,2)+0.5</f>
        <v>-1.4828291744</v>
      </c>
      <c r="I86" s="0" t="n">
        <v>-1.5419214</v>
      </c>
      <c r="J86" s="0" t="n">
        <v>2.7834253</v>
      </c>
      <c r="K86" s="0" t="n">
        <v>-1.4828291</v>
      </c>
      <c r="L86" s="8" t="n">
        <f aca="false">ABS(F86-I86)&gt;0.000001</f>
        <v>0</v>
      </c>
      <c r="M86" s="8" t="n">
        <f aca="false">ABS(G86-J86)&gt;0.000001</f>
        <v>0</v>
      </c>
      <c r="N86" s="8" t="n">
        <f aca="false">ABS(H86-K86)&gt;0.000001</f>
        <v>0</v>
      </c>
      <c r="O86" s="0" t="n">
        <f aca="false">EXP(F86)</f>
        <v>0.213969591596552</v>
      </c>
      <c r="P86" s="0" t="n">
        <f aca="false">EXP(G86)</f>
        <v>16.1743322177984</v>
      </c>
      <c r="Q86" s="0" t="n">
        <f aca="false">EXP(H86)</f>
        <v>0.226994571836769</v>
      </c>
      <c r="R86" s="9" t="n">
        <f aca="false">O86/SUM($O86:$Q86)</f>
        <v>0.0128778678807227</v>
      </c>
      <c r="S86" s="9" t="n">
        <f aca="false">P86/SUM($O86:$Q86)</f>
        <v>0.97346034922787</v>
      </c>
      <c r="T86" s="9" t="n">
        <f aca="false">Q86/SUM($O86:$Q86)</f>
        <v>0.0136617828914071</v>
      </c>
      <c r="U86" s="9" t="n">
        <v>0.012877868</v>
      </c>
      <c r="V86" s="9" t="n">
        <v>0.9734604</v>
      </c>
      <c r="W86" s="9" t="n">
        <v>0.013661787</v>
      </c>
    </row>
    <row r="87" customFormat="false" ht="12.8" hidden="false" customHeight="false" outlineLevel="0" collapsed="false">
      <c r="A87" s="0" t="n">
        <v>83</v>
      </c>
      <c r="B87" s="0" t="n">
        <v>6</v>
      </c>
      <c r="C87" s="0" t="n">
        <v>2.7</v>
      </c>
      <c r="D87" s="0" t="n">
        <v>5.1</v>
      </c>
      <c r="E87" s="0" t="n">
        <v>1.6</v>
      </c>
      <c r="F87" s="6" t="n">
        <f aca="false">XGB_PREDICT(B87,C87,D87,E87,0)+0.5</f>
        <v>-1.5419213694</v>
      </c>
      <c r="G87" s="0" t="n">
        <f aca="false">XGB_PREDICT(B87,C87,D87,E87,1)+0.5</f>
        <v>1.03488706976767</v>
      </c>
      <c r="H87" s="7" t="n">
        <f aca="false">XGB_PREDICT(B87,C87,D87,E87,2)+0.5</f>
        <v>1.4606642531</v>
      </c>
      <c r="I87" s="0" t="n">
        <v>-1.5419214</v>
      </c>
      <c r="J87" s="0" t="n">
        <v>1.0348871</v>
      </c>
      <c r="K87" s="0" t="n">
        <v>1.4606642</v>
      </c>
      <c r="L87" s="8" t="n">
        <f aca="false">ABS(F87-I87)&gt;0.000001</f>
        <v>0</v>
      </c>
      <c r="M87" s="8" t="n">
        <f aca="false">ABS(G87-J87)&gt;0.000001</f>
        <v>0</v>
      </c>
      <c r="N87" s="8" t="n">
        <f aca="false">ABS(H87-K87)&gt;0.000001</f>
        <v>0</v>
      </c>
      <c r="O87" s="0" t="n">
        <f aca="false">EXP(F87)</f>
        <v>0.213969591596552</v>
      </c>
      <c r="P87" s="0" t="n">
        <f aca="false">EXP(G87)</f>
        <v>2.81478834297304</v>
      </c>
      <c r="Q87" s="0" t="n">
        <f aca="false">EXP(H87)</f>
        <v>4.30882072548472</v>
      </c>
      <c r="R87" s="9" t="n">
        <f aca="false">O87/SUM($O87:$Q87)</f>
        <v>0.0291607901611195</v>
      </c>
      <c r="S87" s="9" t="n">
        <f aca="false">P87/SUM($O87:$Q87)</f>
        <v>0.383612697509699</v>
      </c>
      <c r="T87" s="9" t="n">
        <f aca="false">Q87/SUM($O87:$Q87)</f>
        <v>0.587226512329181</v>
      </c>
      <c r="U87" s="9" t="n">
        <v>0.029160796</v>
      </c>
      <c r="V87" s="9" t="n">
        <v>0.38361272</v>
      </c>
      <c r="W87" s="9" t="n">
        <v>0.5872265</v>
      </c>
    </row>
    <row r="88" customFormat="false" ht="12.8" hidden="false" customHeight="false" outlineLevel="0" collapsed="false">
      <c r="A88" s="0" t="n">
        <v>84</v>
      </c>
      <c r="B88" s="0" t="n">
        <v>5.4</v>
      </c>
      <c r="C88" s="0" t="n">
        <v>3</v>
      </c>
      <c r="D88" s="0" t="n">
        <v>4.5</v>
      </c>
      <c r="E88" s="0" t="n">
        <v>1.5</v>
      </c>
      <c r="F88" s="6" t="n">
        <f aca="false">XGB_PREDICT(B88,C88,D88,E88,0)+0.5</f>
        <v>-1.5419213694</v>
      </c>
      <c r="G88" s="0" t="n">
        <f aca="false">XGB_PREDICT(B88,C88,D88,E88,1)+0.5</f>
        <v>2.7120042444</v>
      </c>
      <c r="H88" s="7" t="n">
        <f aca="false">XGB_PREDICT(B88,C88,D88,E88,2)+0.5</f>
        <v>-0.32262111150897</v>
      </c>
      <c r="I88" s="0" t="n">
        <v>-1.5419214</v>
      </c>
      <c r="J88" s="0" t="n">
        <v>2.7120042</v>
      </c>
      <c r="K88" s="0" t="n">
        <v>-0.32262117</v>
      </c>
      <c r="L88" s="8" t="n">
        <f aca="false">ABS(F88-I88)&gt;0.000001</f>
        <v>0</v>
      </c>
      <c r="M88" s="8" t="n">
        <f aca="false">ABS(G88-J88)&gt;0.000001</f>
        <v>0</v>
      </c>
      <c r="N88" s="8" t="n">
        <f aca="false">ABS(H88-K88)&gt;0.000001</f>
        <v>0</v>
      </c>
      <c r="O88" s="0" t="n">
        <f aca="false">EXP(F88)</f>
        <v>0.213969591596552</v>
      </c>
      <c r="P88" s="0" t="n">
        <f aca="false">EXP(G88)</f>
        <v>15.0594280626061</v>
      </c>
      <c r="Q88" s="0" t="n">
        <f aca="false">EXP(H88)</f>
        <v>0.724248211701278</v>
      </c>
      <c r="R88" s="9" t="n">
        <f aca="false">O88/SUM($O88:$Q88)</f>
        <v>0.0133750673936713</v>
      </c>
      <c r="S88" s="9" t="n">
        <f aca="false">P88/SUM($O88:$Q88)</f>
        <v>0.941352758326932</v>
      </c>
      <c r="T88" s="9" t="n">
        <f aca="false">Q88/SUM($O88:$Q88)</f>
        <v>0.0452721742793971</v>
      </c>
      <c r="U88" s="9" t="n">
        <v>0.013375071</v>
      </c>
      <c r="V88" s="9" t="n">
        <v>0.9413527</v>
      </c>
      <c r="W88" s="9" t="n">
        <v>0.04527218</v>
      </c>
    </row>
    <row r="89" customFormat="false" ht="12.8" hidden="false" customHeight="false" outlineLevel="0" collapsed="false">
      <c r="A89" s="0" t="n">
        <v>85</v>
      </c>
      <c r="B89" s="0" t="n">
        <v>6</v>
      </c>
      <c r="C89" s="0" t="n">
        <v>3.4</v>
      </c>
      <c r="D89" s="0" t="n">
        <v>4.5</v>
      </c>
      <c r="E89" s="0" t="n">
        <v>1.6</v>
      </c>
      <c r="F89" s="6" t="n">
        <f aca="false">XGB_PREDICT(B89,C89,D89,E89,0)+0.5</f>
        <v>-1.5419213694</v>
      </c>
      <c r="G89" s="0" t="n">
        <f aca="false">XGB_PREDICT(B89,C89,D89,E89,1)+0.5</f>
        <v>2.7834255547</v>
      </c>
      <c r="H89" s="7" t="n">
        <f aca="false">XGB_PREDICT(B89,C89,D89,E89,2)+0.5</f>
        <v>-0.9900750421</v>
      </c>
      <c r="I89" s="0" t="n">
        <v>-1.5419214</v>
      </c>
      <c r="J89" s="0" t="n">
        <v>2.7834253</v>
      </c>
      <c r="K89" s="0" t="n">
        <v>-0.990075</v>
      </c>
      <c r="L89" s="8" t="n">
        <f aca="false">ABS(F89-I89)&gt;0.000001</f>
        <v>0</v>
      </c>
      <c r="M89" s="8" t="n">
        <f aca="false">ABS(G89-J89)&gt;0.000001</f>
        <v>0</v>
      </c>
      <c r="N89" s="8" t="n">
        <f aca="false">ABS(H89-K89)&gt;0.000001</f>
        <v>0</v>
      </c>
      <c r="O89" s="0" t="n">
        <f aca="false">EXP(F89)</f>
        <v>0.213969591596552</v>
      </c>
      <c r="P89" s="0" t="n">
        <f aca="false">EXP(G89)</f>
        <v>16.1743322177984</v>
      </c>
      <c r="Q89" s="0" t="n">
        <f aca="false">EXP(H89)</f>
        <v>0.371548808173047</v>
      </c>
      <c r="R89" s="9" t="n">
        <f aca="false">O89/SUM($O89:$Q89)</f>
        <v>0.0127667958670387</v>
      </c>
      <c r="S89" s="9" t="n">
        <f aca="false">P89/SUM($O89:$Q89)</f>
        <v>0.965064223236223</v>
      </c>
      <c r="T89" s="9" t="n">
        <f aca="false">Q89/SUM($O89:$Q89)</f>
        <v>0.022168980896738</v>
      </c>
      <c r="U89" s="9" t="n">
        <v>0.012766794</v>
      </c>
      <c r="V89" s="9" t="n">
        <v>0.96506417</v>
      </c>
      <c r="W89" s="9" t="n">
        <v>0.022168985</v>
      </c>
    </row>
    <row r="90" customFormat="false" ht="12.8" hidden="false" customHeight="false" outlineLevel="0" collapsed="false">
      <c r="A90" s="0" t="n">
        <v>86</v>
      </c>
      <c r="B90" s="0" t="n">
        <v>6.7</v>
      </c>
      <c r="C90" s="0" t="n">
        <v>3.1</v>
      </c>
      <c r="D90" s="0" t="n">
        <v>4.7</v>
      </c>
      <c r="E90" s="0" t="n">
        <v>1.5</v>
      </c>
      <c r="F90" s="6" t="n">
        <f aca="false">XGB_PREDICT(B90,C90,D90,E90,0)+0.5</f>
        <v>-1.5419213694</v>
      </c>
      <c r="G90" s="0" t="n">
        <f aca="false">XGB_PREDICT(B90,C90,D90,E90,1)+0.5</f>
        <v>2.7834255547</v>
      </c>
      <c r="H90" s="7" t="n">
        <f aca="false">XGB_PREDICT(B90,C90,D90,E90,2)+0.5</f>
        <v>-0.9900750421</v>
      </c>
      <c r="I90" s="0" t="n">
        <v>-1.5419214</v>
      </c>
      <c r="J90" s="0" t="n">
        <v>2.7834253</v>
      </c>
      <c r="K90" s="0" t="n">
        <v>-0.990075</v>
      </c>
      <c r="L90" s="8" t="n">
        <f aca="false">ABS(F90-I90)&gt;0.000001</f>
        <v>0</v>
      </c>
      <c r="M90" s="8" t="n">
        <f aca="false">ABS(G90-J90)&gt;0.000001</f>
        <v>0</v>
      </c>
      <c r="N90" s="8" t="n">
        <f aca="false">ABS(H90-K90)&gt;0.000001</f>
        <v>0</v>
      </c>
      <c r="O90" s="0" t="n">
        <f aca="false">EXP(F90)</f>
        <v>0.213969591596552</v>
      </c>
      <c r="P90" s="0" t="n">
        <f aca="false">EXP(G90)</f>
        <v>16.1743322177984</v>
      </c>
      <c r="Q90" s="0" t="n">
        <f aca="false">EXP(H90)</f>
        <v>0.371548808173047</v>
      </c>
      <c r="R90" s="9" t="n">
        <f aca="false">O90/SUM($O90:$Q90)</f>
        <v>0.0127667958670387</v>
      </c>
      <c r="S90" s="9" t="n">
        <f aca="false">P90/SUM($O90:$Q90)</f>
        <v>0.965064223236223</v>
      </c>
      <c r="T90" s="9" t="n">
        <f aca="false">Q90/SUM($O90:$Q90)</f>
        <v>0.022168980896738</v>
      </c>
      <c r="U90" s="9" t="n">
        <v>0.012766794</v>
      </c>
      <c r="V90" s="9" t="n">
        <v>0.96506417</v>
      </c>
      <c r="W90" s="9" t="n">
        <v>0.022168985</v>
      </c>
    </row>
    <row r="91" customFormat="false" ht="12.8" hidden="false" customHeight="false" outlineLevel="0" collapsed="false">
      <c r="A91" s="0" t="n">
        <v>87</v>
      </c>
      <c r="B91" s="0" t="n">
        <v>6.3</v>
      </c>
      <c r="C91" s="0" t="n">
        <v>2.3</v>
      </c>
      <c r="D91" s="0" t="n">
        <v>4.4</v>
      </c>
      <c r="E91" s="0" t="n">
        <v>1.3</v>
      </c>
      <c r="F91" s="6" t="n">
        <f aca="false">XGB_PREDICT(B91,C91,D91,E91,0)+0.5</f>
        <v>-1.5419213694</v>
      </c>
      <c r="G91" s="0" t="n">
        <f aca="false">XGB_PREDICT(B91,C91,D91,E91,1)+0.5</f>
        <v>2.6123737991</v>
      </c>
      <c r="H91" s="7" t="n">
        <f aca="false">XGB_PREDICT(B91,C91,D91,E91,2)+0.5</f>
        <v>-1.3420646106</v>
      </c>
      <c r="I91" s="0" t="n">
        <v>-1.5419214</v>
      </c>
      <c r="J91" s="0" t="n">
        <v>2.6123738</v>
      </c>
      <c r="K91" s="0" t="n">
        <v>-1.3420646</v>
      </c>
      <c r="L91" s="8" t="n">
        <f aca="false">ABS(F91-I91)&gt;0.000001</f>
        <v>0</v>
      </c>
      <c r="M91" s="8" t="n">
        <f aca="false">ABS(G91-J91)&gt;0.000001</f>
        <v>0</v>
      </c>
      <c r="N91" s="8" t="n">
        <f aca="false">ABS(H91-K91)&gt;0.000001</f>
        <v>0</v>
      </c>
      <c r="O91" s="0" t="n">
        <f aca="false">EXP(F91)</f>
        <v>0.213969591596552</v>
      </c>
      <c r="P91" s="0" t="n">
        <f aca="false">EXP(G91)</f>
        <v>13.6313706116356</v>
      </c>
      <c r="Q91" s="0" t="n">
        <f aca="false">EXP(H91)</f>
        <v>0.261305616927431</v>
      </c>
      <c r="R91" s="9" t="n">
        <f aca="false">O91/SUM($O91:$Q91)</f>
        <v>0.0151679991349022</v>
      </c>
      <c r="S91" s="9" t="n">
        <f aca="false">P91/SUM($O91:$Q91)</f>
        <v>0.966308418416178</v>
      </c>
      <c r="T91" s="9" t="n">
        <f aca="false">Q91/SUM($O91:$Q91)</f>
        <v>0.0185235824489194</v>
      </c>
      <c r="U91" s="9" t="n">
        <v>0.015168001</v>
      </c>
      <c r="V91" s="9" t="n">
        <v>0.96630836</v>
      </c>
      <c r="W91" s="9" t="n">
        <v>0.01852358</v>
      </c>
    </row>
    <row r="92" customFormat="false" ht="12.8" hidden="false" customHeight="false" outlineLevel="0" collapsed="false">
      <c r="A92" s="0" t="n">
        <v>88</v>
      </c>
      <c r="B92" s="0" t="n">
        <v>5.6</v>
      </c>
      <c r="C92" s="0" t="n">
        <v>3</v>
      </c>
      <c r="D92" s="0" t="n">
        <v>4.1</v>
      </c>
      <c r="E92" s="0" t="n">
        <v>1.3</v>
      </c>
      <c r="F92" s="6" t="n">
        <f aca="false">XGB_PREDICT(B92,C92,D92,E92,0)+0.5</f>
        <v>-1.5419213694</v>
      </c>
      <c r="G92" s="0" t="n">
        <f aca="false">XGB_PREDICT(B92,C92,D92,E92,1)+0.5</f>
        <v>2.7834255547</v>
      </c>
      <c r="H92" s="7" t="n">
        <f aca="false">XGB_PREDICT(B92,C92,D92,E92,2)+0.5</f>
        <v>-1.4828291744</v>
      </c>
      <c r="I92" s="0" t="n">
        <v>-1.5419214</v>
      </c>
      <c r="J92" s="0" t="n">
        <v>2.7834253</v>
      </c>
      <c r="K92" s="0" t="n">
        <v>-1.4828291</v>
      </c>
      <c r="L92" s="8" t="n">
        <f aca="false">ABS(F92-I92)&gt;0.000001</f>
        <v>0</v>
      </c>
      <c r="M92" s="8" t="n">
        <f aca="false">ABS(G92-J92)&gt;0.000001</f>
        <v>0</v>
      </c>
      <c r="N92" s="8" t="n">
        <f aca="false">ABS(H92-K92)&gt;0.000001</f>
        <v>0</v>
      </c>
      <c r="O92" s="0" t="n">
        <f aca="false">EXP(F92)</f>
        <v>0.213969591596552</v>
      </c>
      <c r="P92" s="0" t="n">
        <f aca="false">EXP(G92)</f>
        <v>16.1743322177984</v>
      </c>
      <c r="Q92" s="0" t="n">
        <f aca="false">EXP(H92)</f>
        <v>0.226994571836769</v>
      </c>
      <c r="R92" s="9" t="n">
        <f aca="false">O92/SUM($O92:$Q92)</f>
        <v>0.0128778678807227</v>
      </c>
      <c r="S92" s="9" t="n">
        <f aca="false">P92/SUM($O92:$Q92)</f>
        <v>0.97346034922787</v>
      </c>
      <c r="T92" s="9" t="n">
        <f aca="false">Q92/SUM($O92:$Q92)</f>
        <v>0.0136617828914071</v>
      </c>
      <c r="U92" s="9" t="n">
        <v>0.012877868</v>
      </c>
      <c r="V92" s="9" t="n">
        <v>0.9734604</v>
      </c>
      <c r="W92" s="9" t="n">
        <v>0.013661787</v>
      </c>
    </row>
    <row r="93" customFormat="false" ht="12.8" hidden="false" customHeight="false" outlineLevel="0" collapsed="false">
      <c r="A93" s="0" t="n">
        <v>89</v>
      </c>
      <c r="B93" s="0" t="n">
        <v>5.5</v>
      </c>
      <c r="C93" s="0" t="n">
        <v>2.5</v>
      </c>
      <c r="D93" s="0" t="n">
        <v>4</v>
      </c>
      <c r="E93" s="0" t="n">
        <v>1.3</v>
      </c>
      <c r="F93" s="6" t="n">
        <f aca="false">XGB_PREDICT(B93,C93,D93,E93,0)+0.5</f>
        <v>-1.5419213694</v>
      </c>
      <c r="G93" s="0" t="n">
        <f aca="false">XGB_PREDICT(B93,C93,D93,E93,1)+0.5</f>
        <v>2.6123737991</v>
      </c>
      <c r="H93" s="7" t="n">
        <f aca="false">XGB_PREDICT(B93,C93,D93,E93,2)+0.5</f>
        <v>-1.3420646106</v>
      </c>
      <c r="I93" s="0" t="n">
        <v>-1.5419214</v>
      </c>
      <c r="J93" s="0" t="n">
        <v>2.6123738</v>
      </c>
      <c r="K93" s="0" t="n">
        <v>-1.3420646</v>
      </c>
      <c r="L93" s="8" t="n">
        <f aca="false">ABS(F93-I93)&gt;0.000001</f>
        <v>0</v>
      </c>
      <c r="M93" s="8" t="n">
        <f aca="false">ABS(G93-J93)&gt;0.000001</f>
        <v>0</v>
      </c>
      <c r="N93" s="8" t="n">
        <f aca="false">ABS(H93-K93)&gt;0.000001</f>
        <v>0</v>
      </c>
      <c r="O93" s="0" t="n">
        <f aca="false">EXP(F93)</f>
        <v>0.213969591596552</v>
      </c>
      <c r="P93" s="0" t="n">
        <f aca="false">EXP(G93)</f>
        <v>13.6313706116356</v>
      </c>
      <c r="Q93" s="0" t="n">
        <f aca="false">EXP(H93)</f>
        <v>0.261305616927431</v>
      </c>
      <c r="R93" s="9" t="n">
        <f aca="false">O93/SUM($O93:$Q93)</f>
        <v>0.0151679991349022</v>
      </c>
      <c r="S93" s="9" t="n">
        <f aca="false">P93/SUM($O93:$Q93)</f>
        <v>0.966308418416178</v>
      </c>
      <c r="T93" s="9" t="n">
        <f aca="false">Q93/SUM($O93:$Q93)</f>
        <v>0.0185235824489194</v>
      </c>
      <c r="U93" s="9" t="n">
        <v>0.015168001</v>
      </c>
      <c r="V93" s="9" t="n">
        <v>0.96630836</v>
      </c>
      <c r="W93" s="9" t="n">
        <v>0.01852358</v>
      </c>
    </row>
    <row r="94" customFormat="false" ht="12.8" hidden="false" customHeight="false" outlineLevel="0" collapsed="false">
      <c r="A94" s="0" t="n">
        <v>90</v>
      </c>
      <c r="B94" s="0" t="n">
        <v>5.5</v>
      </c>
      <c r="C94" s="0" t="n">
        <v>2.6</v>
      </c>
      <c r="D94" s="0" t="n">
        <v>4.4</v>
      </c>
      <c r="E94" s="0" t="n">
        <v>1.2</v>
      </c>
      <c r="F94" s="6" t="n">
        <f aca="false">XGB_PREDICT(B94,C94,D94,E94,0)+0.5</f>
        <v>-1.5419213694</v>
      </c>
      <c r="G94" s="0" t="n">
        <f aca="false">XGB_PREDICT(B94,C94,D94,E94,1)+0.5</f>
        <v>2.6947938353</v>
      </c>
      <c r="H94" s="7" t="n">
        <f aca="false">XGB_PREDICT(B94,C94,D94,E94,2)+0.5</f>
        <v>-1.4828291744</v>
      </c>
      <c r="I94" s="0" t="n">
        <v>-1.5419214</v>
      </c>
      <c r="J94" s="0" t="n">
        <v>2.6947937</v>
      </c>
      <c r="K94" s="0" t="n">
        <v>-1.4828291</v>
      </c>
      <c r="L94" s="8" t="n">
        <f aca="false">ABS(F94-I94)&gt;0.000001</f>
        <v>0</v>
      </c>
      <c r="M94" s="8" t="n">
        <f aca="false">ABS(G94-J94)&gt;0.000001</f>
        <v>0</v>
      </c>
      <c r="N94" s="8" t="n">
        <f aca="false">ABS(H94-K94)&gt;0.000001</f>
        <v>0</v>
      </c>
      <c r="O94" s="0" t="n">
        <f aca="false">EXP(F94)</f>
        <v>0.213969591596552</v>
      </c>
      <c r="P94" s="0" t="n">
        <f aca="false">EXP(G94)</f>
        <v>14.80246669258</v>
      </c>
      <c r="Q94" s="0" t="n">
        <f aca="false">EXP(H94)</f>
        <v>0.226994571836769</v>
      </c>
      <c r="R94" s="9" t="n">
        <f aca="false">O94/SUM($O94:$Q94)</f>
        <v>0.0140368394502307</v>
      </c>
      <c r="S94" s="9" t="n">
        <f aca="false">P94/SUM($O94:$Q94)</f>
        <v>0.971071855962179</v>
      </c>
      <c r="T94" s="9" t="n">
        <f aca="false">Q94/SUM($O94:$Q94)</f>
        <v>0.0148913045875904</v>
      </c>
      <c r="U94" s="9" t="n">
        <v>0.014036838</v>
      </c>
      <c r="V94" s="9" t="n">
        <v>0.97107184</v>
      </c>
      <c r="W94" s="9" t="n">
        <v>0.014891307</v>
      </c>
    </row>
    <row r="95" customFormat="false" ht="12.8" hidden="false" customHeight="false" outlineLevel="0" collapsed="false">
      <c r="A95" s="0" t="n">
        <v>91</v>
      </c>
      <c r="B95" s="0" t="n">
        <v>6.1</v>
      </c>
      <c r="C95" s="0" t="n">
        <v>3</v>
      </c>
      <c r="D95" s="0" t="n">
        <v>4.6</v>
      </c>
      <c r="E95" s="0" t="n">
        <v>1.4</v>
      </c>
      <c r="F95" s="6" t="n">
        <f aca="false">XGB_PREDICT(B95,C95,D95,E95,0)+0.5</f>
        <v>-1.5419213694</v>
      </c>
      <c r="G95" s="0" t="n">
        <f aca="false">XGB_PREDICT(B95,C95,D95,E95,1)+0.5</f>
        <v>2.7834255547</v>
      </c>
      <c r="H95" s="7" t="n">
        <f aca="false">XGB_PREDICT(B95,C95,D95,E95,2)+0.5</f>
        <v>-1.2693456714</v>
      </c>
      <c r="I95" s="0" t="n">
        <v>-1.5419214</v>
      </c>
      <c r="J95" s="0" t="n">
        <v>2.7834253</v>
      </c>
      <c r="K95" s="0" t="n">
        <v>-1.2693455</v>
      </c>
      <c r="L95" s="8" t="n">
        <f aca="false">ABS(F95-I95)&gt;0.000001</f>
        <v>0</v>
      </c>
      <c r="M95" s="8" t="n">
        <f aca="false">ABS(G95-J95)&gt;0.000001</f>
        <v>0</v>
      </c>
      <c r="N95" s="8" t="n">
        <f aca="false">ABS(H95-K95)&gt;0.000001</f>
        <v>0</v>
      </c>
      <c r="O95" s="0" t="n">
        <f aca="false">EXP(F95)</f>
        <v>0.213969591596552</v>
      </c>
      <c r="P95" s="0" t="n">
        <f aca="false">EXP(G95)</f>
        <v>16.1743322177984</v>
      </c>
      <c r="Q95" s="0" t="n">
        <f aca="false">EXP(H95)</f>
        <v>0.281015438071864</v>
      </c>
      <c r="R95" s="9" t="n">
        <f aca="false">O95/SUM($O95:$Q95)</f>
        <v>0.012836134103157</v>
      </c>
      <c r="S95" s="9" t="n">
        <f aca="false">P95/SUM($O95:$Q95)</f>
        <v>0.970305620661</v>
      </c>
      <c r="T95" s="9" t="n">
        <f aca="false">Q95/SUM($O95:$Q95)</f>
        <v>0.0168582452358431</v>
      </c>
      <c r="U95" s="9" t="n">
        <v>0.012836133</v>
      </c>
      <c r="V95" s="9" t="n">
        <v>0.97030556</v>
      </c>
      <c r="W95" s="9" t="n">
        <v>0.016858255</v>
      </c>
    </row>
    <row r="96" customFormat="false" ht="12.8" hidden="false" customHeight="false" outlineLevel="0" collapsed="false">
      <c r="A96" s="0" t="n">
        <v>92</v>
      </c>
      <c r="B96" s="0" t="n">
        <v>5.8</v>
      </c>
      <c r="C96" s="0" t="n">
        <v>2.6</v>
      </c>
      <c r="D96" s="0" t="n">
        <v>4</v>
      </c>
      <c r="E96" s="0" t="n">
        <v>1.2</v>
      </c>
      <c r="F96" s="6" t="n">
        <f aca="false">XGB_PREDICT(B96,C96,D96,E96,0)+0.5</f>
        <v>-1.5419213694</v>
      </c>
      <c r="G96" s="0" t="n">
        <f aca="false">XGB_PREDICT(B96,C96,D96,E96,1)+0.5</f>
        <v>2.6947938353</v>
      </c>
      <c r="H96" s="7" t="n">
        <f aca="false">XGB_PREDICT(B96,C96,D96,E96,2)+0.5</f>
        <v>-1.4828291744</v>
      </c>
      <c r="I96" s="0" t="n">
        <v>-1.5419214</v>
      </c>
      <c r="J96" s="0" t="n">
        <v>2.6947937</v>
      </c>
      <c r="K96" s="0" t="n">
        <v>-1.4828291</v>
      </c>
      <c r="L96" s="8" t="n">
        <f aca="false">ABS(F96-I96)&gt;0.000001</f>
        <v>0</v>
      </c>
      <c r="M96" s="8" t="n">
        <f aca="false">ABS(G96-J96)&gt;0.000001</f>
        <v>0</v>
      </c>
      <c r="N96" s="8" t="n">
        <f aca="false">ABS(H96-K96)&gt;0.000001</f>
        <v>0</v>
      </c>
      <c r="O96" s="0" t="n">
        <f aca="false">EXP(F96)</f>
        <v>0.213969591596552</v>
      </c>
      <c r="P96" s="0" t="n">
        <f aca="false">EXP(G96)</f>
        <v>14.80246669258</v>
      </c>
      <c r="Q96" s="0" t="n">
        <f aca="false">EXP(H96)</f>
        <v>0.226994571836769</v>
      </c>
      <c r="R96" s="9" t="n">
        <f aca="false">O96/SUM($O96:$Q96)</f>
        <v>0.0140368394502307</v>
      </c>
      <c r="S96" s="9" t="n">
        <f aca="false">P96/SUM($O96:$Q96)</f>
        <v>0.971071855962179</v>
      </c>
      <c r="T96" s="9" t="n">
        <f aca="false">Q96/SUM($O96:$Q96)</f>
        <v>0.0148913045875904</v>
      </c>
      <c r="U96" s="9" t="n">
        <v>0.014036838</v>
      </c>
      <c r="V96" s="9" t="n">
        <v>0.97107184</v>
      </c>
      <c r="W96" s="9" t="n">
        <v>0.014891307</v>
      </c>
    </row>
    <row r="97" customFormat="false" ht="12.8" hidden="false" customHeight="false" outlineLevel="0" collapsed="false">
      <c r="A97" s="0" t="n">
        <v>93</v>
      </c>
      <c r="B97" s="0" t="n">
        <v>5</v>
      </c>
      <c r="C97" s="0" t="n">
        <v>2.3</v>
      </c>
      <c r="D97" s="0" t="n">
        <v>3.3</v>
      </c>
      <c r="E97" s="0" t="n">
        <v>1</v>
      </c>
      <c r="F97" s="6" t="n">
        <f aca="false">XGB_PREDICT(B97,C97,D97,E97,0)+0.5</f>
        <v>-1.5419213694</v>
      </c>
      <c r="G97" s="0" t="n">
        <f aca="false">XGB_PREDICT(B97,C97,D97,E97,1)+0.5</f>
        <v>2.430273071</v>
      </c>
      <c r="H97" s="7" t="n">
        <f aca="false">XGB_PREDICT(B97,C97,D97,E97,2)+0.5</f>
        <v>-1.4471156736</v>
      </c>
      <c r="I97" s="0" t="n">
        <v>-1.5419214</v>
      </c>
      <c r="J97" s="0" t="n">
        <v>2.4302733</v>
      </c>
      <c r="K97" s="0" t="n">
        <v>-1.4471157</v>
      </c>
      <c r="L97" s="8" t="n">
        <f aca="false">ABS(F97-I97)&gt;0.000001</f>
        <v>0</v>
      </c>
      <c r="M97" s="8" t="n">
        <f aca="false">ABS(G97-J97)&gt;0.000001</f>
        <v>0</v>
      </c>
      <c r="N97" s="8" t="n">
        <f aca="false">ABS(H97-K97)&gt;0.000001</f>
        <v>0</v>
      </c>
      <c r="O97" s="0" t="n">
        <f aca="false">EXP(F97)</f>
        <v>0.213969591596552</v>
      </c>
      <c r="P97" s="0" t="n">
        <f aca="false">EXP(G97)</f>
        <v>11.3619842848317</v>
      </c>
      <c r="Q97" s="0" t="n">
        <f aca="false">EXP(H97)</f>
        <v>0.235247842042039</v>
      </c>
      <c r="R97" s="9" t="n">
        <f aca="false">O97/SUM($O97:$Q97)</f>
        <v>0.0181158189231454</v>
      </c>
      <c r="S97" s="9" t="n">
        <f aca="false">P97/SUM($O97:$Q97)</f>
        <v>0.961966830780978</v>
      </c>
      <c r="T97" s="9" t="n">
        <f aca="false">Q97/SUM($O97:$Q97)</f>
        <v>0.0199173502958771</v>
      </c>
      <c r="U97" s="9" t="n">
        <v>0.018115817</v>
      </c>
      <c r="V97" s="9" t="n">
        <v>0.9619669</v>
      </c>
      <c r="W97" s="9" t="n">
        <v>0.019917347</v>
      </c>
    </row>
    <row r="98" customFormat="false" ht="12.8" hidden="false" customHeight="false" outlineLevel="0" collapsed="false">
      <c r="A98" s="0" t="n">
        <v>94</v>
      </c>
      <c r="B98" s="0" t="n">
        <v>5.6</v>
      </c>
      <c r="C98" s="0" t="n">
        <v>2.7</v>
      </c>
      <c r="D98" s="0" t="n">
        <v>4.2</v>
      </c>
      <c r="E98" s="0" t="n">
        <v>1.3</v>
      </c>
      <c r="F98" s="6" t="n">
        <f aca="false">XGB_PREDICT(B98,C98,D98,E98,0)+0.5</f>
        <v>-1.5419213694</v>
      </c>
      <c r="G98" s="0" t="n">
        <f aca="false">XGB_PREDICT(B98,C98,D98,E98,1)+0.5</f>
        <v>2.7834255547</v>
      </c>
      <c r="H98" s="7" t="n">
        <f aca="false">XGB_PREDICT(B98,C98,D98,E98,2)+0.5</f>
        <v>-1.4828291744</v>
      </c>
      <c r="I98" s="0" t="n">
        <v>-1.5419214</v>
      </c>
      <c r="J98" s="0" t="n">
        <v>2.7834253</v>
      </c>
      <c r="K98" s="0" t="n">
        <v>-1.4828291</v>
      </c>
      <c r="L98" s="8" t="n">
        <f aca="false">ABS(F98-I98)&gt;0.000001</f>
        <v>0</v>
      </c>
      <c r="M98" s="8" t="n">
        <f aca="false">ABS(G98-J98)&gt;0.000001</f>
        <v>0</v>
      </c>
      <c r="N98" s="8" t="n">
        <f aca="false">ABS(H98-K98)&gt;0.000001</f>
        <v>0</v>
      </c>
      <c r="O98" s="0" t="n">
        <f aca="false">EXP(F98)</f>
        <v>0.213969591596552</v>
      </c>
      <c r="P98" s="0" t="n">
        <f aca="false">EXP(G98)</f>
        <v>16.1743322177984</v>
      </c>
      <c r="Q98" s="0" t="n">
        <f aca="false">EXP(H98)</f>
        <v>0.226994571836769</v>
      </c>
      <c r="R98" s="9" t="n">
        <f aca="false">O98/SUM($O98:$Q98)</f>
        <v>0.0128778678807227</v>
      </c>
      <c r="S98" s="9" t="n">
        <f aca="false">P98/SUM($O98:$Q98)</f>
        <v>0.97346034922787</v>
      </c>
      <c r="T98" s="9" t="n">
        <f aca="false">Q98/SUM($O98:$Q98)</f>
        <v>0.0136617828914071</v>
      </c>
      <c r="U98" s="9" t="n">
        <v>0.012877868</v>
      </c>
      <c r="V98" s="9" t="n">
        <v>0.9734604</v>
      </c>
      <c r="W98" s="9" t="n">
        <v>0.013661787</v>
      </c>
    </row>
    <row r="99" customFormat="false" ht="12.8" hidden="false" customHeight="false" outlineLevel="0" collapsed="false">
      <c r="A99" s="0" t="n">
        <v>95</v>
      </c>
      <c r="B99" s="0" t="n">
        <v>5.7</v>
      </c>
      <c r="C99" s="0" t="n">
        <v>3</v>
      </c>
      <c r="D99" s="0" t="n">
        <v>4.2</v>
      </c>
      <c r="E99" s="0" t="n">
        <v>1.2</v>
      </c>
      <c r="F99" s="6" t="n">
        <f aca="false">XGB_PREDICT(B99,C99,D99,E99,0)+0.5</f>
        <v>-1.5419213694</v>
      </c>
      <c r="G99" s="0" t="n">
        <f aca="false">XGB_PREDICT(B99,C99,D99,E99,1)+0.5</f>
        <v>2.7834255547</v>
      </c>
      <c r="H99" s="7" t="n">
        <f aca="false">XGB_PREDICT(B99,C99,D99,E99,2)+0.5</f>
        <v>-1.4828291744</v>
      </c>
      <c r="I99" s="0" t="n">
        <v>-1.5419214</v>
      </c>
      <c r="J99" s="0" t="n">
        <v>2.7834253</v>
      </c>
      <c r="K99" s="0" t="n">
        <v>-1.4828291</v>
      </c>
      <c r="L99" s="8" t="n">
        <f aca="false">ABS(F99-I99)&gt;0.000001</f>
        <v>0</v>
      </c>
      <c r="M99" s="8" t="n">
        <f aca="false">ABS(G99-J99)&gt;0.000001</f>
        <v>0</v>
      </c>
      <c r="N99" s="8" t="n">
        <f aca="false">ABS(H99-K99)&gt;0.000001</f>
        <v>0</v>
      </c>
      <c r="O99" s="0" t="n">
        <f aca="false">EXP(F99)</f>
        <v>0.213969591596552</v>
      </c>
      <c r="P99" s="0" t="n">
        <f aca="false">EXP(G99)</f>
        <v>16.1743322177984</v>
      </c>
      <c r="Q99" s="0" t="n">
        <f aca="false">EXP(H99)</f>
        <v>0.226994571836769</v>
      </c>
      <c r="R99" s="9" t="n">
        <f aca="false">O99/SUM($O99:$Q99)</f>
        <v>0.0128778678807227</v>
      </c>
      <c r="S99" s="9" t="n">
        <f aca="false">P99/SUM($O99:$Q99)</f>
        <v>0.97346034922787</v>
      </c>
      <c r="T99" s="9" t="n">
        <f aca="false">Q99/SUM($O99:$Q99)</f>
        <v>0.0136617828914071</v>
      </c>
      <c r="U99" s="9" t="n">
        <v>0.012877868</v>
      </c>
      <c r="V99" s="9" t="n">
        <v>0.9734604</v>
      </c>
      <c r="W99" s="9" t="n">
        <v>0.013661787</v>
      </c>
    </row>
    <row r="100" customFormat="false" ht="12.8" hidden="false" customHeight="false" outlineLevel="0" collapsed="false">
      <c r="A100" s="0" t="n">
        <v>96</v>
      </c>
      <c r="B100" s="0" t="n">
        <v>5.7</v>
      </c>
      <c r="C100" s="0" t="n">
        <v>2.9</v>
      </c>
      <c r="D100" s="0" t="n">
        <v>4.2</v>
      </c>
      <c r="E100" s="0" t="n">
        <v>1.3</v>
      </c>
      <c r="F100" s="6" t="n">
        <f aca="false">XGB_PREDICT(B100,C100,D100,E100,0)+0.5</f>
        <v>-1.5419213694</v>
      </c>
      <c r="G100" s="0" t="n">
        <f aca="false">XGB_PREDICT(B100,C100,D100,E100,1)+0.5</f>
        <v>2.7834255547</v>
      </c>
      <c r="H100" s="7" t="n">
        <f aca="false">XGB_PREDICT(B100,C100,D100,E100,2)+0.5</f>
        <v>-1.4828291744</v>
      </c>
      <c r="I100" s="0" t="n">
        <v>-1.5419214</v>
      </c>
      <c r="J100" s="0" t="n">
        <v>2.7834253</v>
      </c>
      <c r="K100" s="0" t="n">
        <v>-1.4828291</v>
      </c>
      <c r="L100" s="8" t="n">
        <f aca="false">ABS(F100-I100)&gt;0.000001</f>
        <v>0</v>
      </c>
      <c r="M100" s="8" t="n">
        <f aca="false">ABS(G100-J100)&gt;0.000001</f>
        <v>0</v>
      </c>
      <c r="N100" s="8" t="n">
        <f aca="false">ABS(H100-K100)&gt;0.000001</f>
        <v>0</v>
      </c>
      <c r="O100" s="0" t="n">
        <f aca="false">EXP(F100)</f>
        <v>0.213969591596552</v>
      </c>
      <c r="P100" s="0" t="n">
        <f aca="false">EXP(G100)</f>
        <v>16.1743322177984</v>
      </c>
      <c r="Q100" s="0" t="n">
        <f aca="false">EXP(H100)</f>
        <v>0.226994571836769</v>
      </c>
      <c r="R100" s="9" t="n">
        <f aca="false">O100/SUM($O100:$Q100)</f>
        <v>0.0128778678807227</v>
      </c>
      <c r="S100" s="9" t="n">
        <f aca="false">P100/SUM($O100:$Q100)</f>
        <v>0.97346034922787</v>
      </c>
      <c r="T100" s="9" t="n">
        <f aca="false">Q100/SUM($O100:$Q100)</f>
        <v>0.0136617828914071</v>
      </c>
      <c r="U100" s="9" t="n">
        <v>0.012877868</v>
      </c>
      <c r="V100" s="9" t="n">
        <v>0.9734604</v>
      </c>
      <c r="W100" s="9" t="n">
        <v>0.013661787</v>
      </c>
    </row>
    <row r="101" customFormat="false" ht="12.8" hidden="false" customHeight="false" outlineLevel="0" collapsed="false">
      <c r="A101" s="0" t="n">
        <v>97</v>
      </c>
      <c r="B101" s="0" t="n">
        <v>6.2</v>
      </c>
      <c r="C101" s="0" t="n">
        <v>2.9</v>
      </c>
      <c r="D101" s="0" t="n">
        <v>4.3</v>
      </c>
      <c r="E101" s="0" t="n">
        <v>1.3</v>
      </c>
      <c r="F101" s="6" t="n">
        <f aca="false">XGB_PREDICT(B101,C101,D101,E101,0)+0.5</f>
        <v>-1.5419213694</v>
      </c>
      <c r="G101" s="0" t="n">
        <f aca="false">XGB_PREDICT(B101,C101,D101,E101,1)+0.5</f>
        <v>2.7834255547</v>
      </c>
      <c r="H101" s="7" t="n">
        <f aca="false">XGB_PREDICT(B101,C101,D101,E101,2)+0.5</f>
        <v>-1.4828291744</v>
      </c>
      <c r="I101" s="0" t="n">
        <v>-1.5419214</v>
      </c>
      <c r="J101" s="0" t="n">
        <v>2.7834253</v>
      </c>
      <c r="K101" s="0" t="n">
        <v>-1.4828291</v>
      </c>
      <c r="L101" s="8" t="n">
        <f aca="false">ABS(F101-I101)&gt;0.000001</f>
        <v>0</v>
      </c>
      <c r="M101" s="8" t="n">
        <f aca="false">ABS(G101-J101)&gt;0.000001</f>
        <v>0</v>
      </c>
      <c r="N101" s="8" t="n">
        <f aca="false">ABS(H101-K101)&gt;0.000001</f>
        <v>0</v>
      </c>
      <c r="O101" s="0" t="n">
        <f aca="false">EXP(F101)</f>
        <v>0.213969591596552</v>
      </c>
      <c r="P101" s="0" t="n">
        <f aca="false">EXP(G101)</f>
        <v>16.1743322177984</v>
      </c>
      <c r="Q101" s="0" t="n">
        <f aca="false">EXP(H101)</f>
        <v>0.226994571836769</v>
      </c>
      <c r="R101" s="9" t="n">
        <f aca="false">O101/SUM($O101:$Q101)</f>
        <v>0.0128778678807227</v>
      </c>
      <c r="S101" s="9" t="n">
        <f aca="false">P101/SUM($O101:$Q101)</f>
        <v>0.97346034922787</v>
      </c>
      <c r="T101" s="9" t="n">
        <f aca="false">Q101/SUM($O101:$Q101)</f>
        <v>0.0136617828914071</v>
      </c>
      <c r="U101" s="9" t="n">
        <v>0.012877868</v>
      </c>
      <c r="V101" s="9" t="n">
        <v>0.9734604</v>
      </c>
      <c r="W101" s="9" t="n">
        <v>0.013661787</v>
      </c>
    </row>
    <row r="102" customFormat="false" ht="12.8" hidden="false" customHeight="false" outlineLevel="0" collapsed="false">
      <c r="A102" s="0" t="n">
        <v>98</v>
      </c>
      <c r="B102" s="0" t="n">
        <v>5.1</v>
      </c>
      <c r="C102" s="0" t="n">
        <v>2.5</v>
      </c>
      <c r="D102" s="0" t="n">
        <v>3</v>
      </c>
      <c r="E102" s="0" t="n">
        <v>1.1</v>
      </c>
      <c r="F102" s="6" t="n">
        <f aca="false">XGB_PREDICT(B102,C102,D102,E102,0)+0.5</f>
        <v>-1.5419213694</v>
      </c>
      <c r="G102" s="0" t="n">
        <f aca="false">XGB_PREDICT(B102,C102,D102,E102,1)+0.5</f>
        <v>2.430273071</v>
      </c>
      <c r="H102" s="7" t="n">
        <f aca="false">XGB_PREDICT(B102,C102,D102,E102,2)+0.5</f>
        <v>-1.4471156736</v>
      </c>
      <c r="I102" s="0" t="n">
        <v>-1.5419214</v>
      </c>
      <c r="J102" s="0" t="n">
        <v>2.4302733</v>
      </c>
      <c r="K102" s="0" t="n">
        <v>-1.4471157</v>
      </c>
      <c r="L102" s="8" t="n">
        <f aca="false">ABS(F102-I102)&gt;0.000001</f>
        <v>0</v>
      </c>
      <c r="M102" s="8" t="n">
        <f aca="false">ABS(G102-J102)&gt;0.000001</f>
        <v>0</v>
      </c>
      <c r="N102" s="8" t="n">
        <f aca="false">ABS(H102-K102)&gt;0.000001</f>
        <v>0</v>
      </c>
      <c r="O102" s="0" t="n">
        <f aca="false">EXP(F102)</f>
        <v>0.213969591596552</v>
      </c>
      <c r="P102" s="0" t="n">
        <f aca="false">EXP(G102)</f>
        <v>11.3619842848317</v>
      </c>
      <c r="Q102" s="0" t="n">
        <f aca="false">EXP(H102)</f>
        <v>0.235247842042039</v>
      </c>
      <c r="R102" s="9" t="n">
        <f aca="false">O102/SUM($O102:$Q102)</f>
        <v>0.0181158189231454</v>
      </c>
      <c r="S102" s="9" t="n">
        <f aca="false">P102/SUM($O102:$Q102)</f>
        <v>0.961966830780978</v>
      </c>
      <c r="T102" s="9" t="n">
        <f aca="false">Q102/SUM($O102:$Q102)</f>
        <v>0.0199173502958771</v>
      </c>
      <c r="U102" s="9" t="n">
        <v>0.018115817</v>
      </c>
      <c r="V102" s="9" t="n">
        <v>0.9619669</v>
      </c>
      <c r="W102" s="9" t="n">
        <v>0.019917347</v>
      </c>
    </row>
    <row r="103" customFormat="false" ht="12.8" hidden="false" customHeight="false" outlineLevel="0" collapsed="false">
      <c r="A103" s="0" t="n">
        <v>99</v>
      </c>
      <c r="B103" s="0" t="n">
        <v>5.7</v>
      </c>
      <c r="C103" s="0" t="n">
        <v>2.8</v>
      </c>
      <c r="D103" s="0" t="n">
        <v>4.1</v>
      </c>
      <c r="E103" s="0" t="n">
        <v>1.3</v>
      </c>
      <c r="F103" s="6" t="n">
        <f aca="false">XGB_PREDICT(B103,C103,D103,E103,0)+0.5</f>
        <v>-1.5419213694</v>
      </c>
      <c r="G103" s="0" t="n">
        <f aca="false">XGB_PREDICT(B103,C103,D103,E103,1)+0.5</f>
        <v>2.7834255547</v>
      </c>
      <c r="H103" s="7" t="n">
        <f aca="false">XGB_PREDICT(B103,C103,D103,E103,2)+0.5</f>
        <v>-1.4828291744</v>
      </c>
      <c r="I103" s="0" t="n">
        <v>-1.5419214</v>
      </c>
      <c r="J103" s="0" t="n">
        <v>2.7834253</v>
      </c>
      <c r="K103" s="0" t="n">
        <v>-1.4828291</v>
      </c>
      <c r="L103" s="8" t="n">
        <f aca="false">ABS(F103-I103)&gt;0.000001</f>
        <v>0</v>
      </c>
      <c r="M103" s="8" t="n">
        <f aca="false">ABS(G103-J103)&gt;0.000001</f>
        <v>0</v>
      </c>
      <c r="N103" s="8" t="n">
        <f aca="false">ABS(H103-K103)&gt;0.000001</f>
        <v>0</v>
      </c>
      <c r="O103" s="0" t="n">
        <f aca="false">EXP(F103)</f>
        <v>0.213969591596552</v>
      </c>
      <c r="P103" s="0" t="n">
        <f aca="false">EXP(G103)</f>
        <v>16.1743322177984</v>
      </c>
      <c r="Q103" s="0" t="n">
        <f aca="false">EXP(H103)</f>
        <v>0.226994571836769</v>
      </c>
      <c r="R103" s="9" t="n">
        <f aca="false">O103/SUM($O103:$Q103)</f>
        <v>0.0128778678807227</v>
      </c>
      <c r="S103" s="9" t="n">
        <f aca="false">P103/SUM($O103:$Q103)</f>
        <v>0.97346034922787</v>
      </c>
      <c r="T103" s="9" t="n">
        <f aca="false">Q103/SUM($O103:$Q103)</f>
        <v>0.0136617828914071</v>
      </c>
      <c r="U103" s="9" t="n">
        <v>0.012877868</v>
      </c>
      <c r="V103" s="9" t="n">
        <v>0.9734604</v>
      </c>
      <c r="W103" s="9" t="n">
        <v>0.013661787</v>
      </c>
    </row>
    <row r="104" customFormat="false" ht="12.8" hidden="false" customHeight="false" outlineLevel="0" collapsed="false">
      <c r="A104" s="0" t="n">
        <v>100</v>
      </c>
      <c r="B104" s="0" t="n">
        <v>6.3</v>
      </c>
      <c r="C104" s="0" t="n">
        <v>3.3</v>
      </c>
      <c r="D104" s="0" t="n">
        <v>6</v>
      </c>
      <c r="E104" s="0" t="n">
        <v>2.5</v>
      </c>
      <c r="F104" s="6" t="n">
        <f aca="false">XGB_PREDICT(B104,C104,D104,E104,0)+0.5</f>
        <v>-1.5419213694</v>
      </c>
      <c r="G104" s="0" t="n">
        <f aca="false">XGB_PREDICT(B104,C104,D104,E104,1)+0.5</f>
        <v>-1.1763248142</v>
      </c>
      <c r="H104" s="7" t="n">
        <f aca="false">XGB_PREDICT(B104,C104,D104,E104,2)+0.5</f>
        <v>2.77805181429</v>
      </c>
      <c r="I104" s="0" t="n">
        <v>-1.5419214</v>
      </c>
      <c r="J104" s="0" t="n">
        <v>-1.1763248</v>
      </c>
      <c r="K104" s="0" t="n">
        <v>2.7780516</v>
      </c>
      <c r="L104" s="8" t="n">
        <f aca="false">ABS(F104-I104)&gt;0.000001</f>
        <v>0</v>
      </c>
      <c r="M104" s="8" t="n">
        <f aca="false">ABS(G104-J104)&gt;0.000001</f>
        <v>0</v>
      </c>
      <c r="N104" s="8" t="n">
        <f aca="false">ABS(H104-K104)&gt;0.000001</f>
        <v>0</v>
      </c>
      <c r="O104" s="0" t="n">
        <f aca="false">EXP(F104)</f>
        <v>0.213969591596552</v>
      </c>
      <c r="P104" s="0" t="n">
        <f aca="false">EXP(G104)</f>
        <v>0.308410122808</v>
      </c>
      <c r="Q104" s="0" t="n">
        <f aca="false">EXP(H104)</f>
        <v>16.0876486711907</v>
      </c>
      <c r="R104" s="9" t="n">
        <f aca="false">O104/SUM($O104:$Q104)</f>
        <v>0.0128819521935383</v>
      </c>
      <c r="S104" s="9" t="n">
        <f aca="false">P104/SUM($O104:$Q104)</f>
        <v>0.0185677059453711</v>
      </c>
      <c r="T104" s="9" t="n">
        <f aca="false">Q104/SUM($O104:$Q104)</f>
        <v>0.968550341861091</v>
      </c>
      <c r="U104" s="9" t="n">
        <v>0.012881955</v>
      </c>
      <c r="V104" s="9" t="n">
        <v>0.01856771</v>
      </c>
      <c r="W104" s="9" t="n">
        <v>0.9685504</v>
      </c>
    </row>
    <row r="105" customFormat="false" ht="12.8" hidden="false" customHeight="false" outlineLevel="0" collapsed="false">
      <c r="A105" s="0" t="n">
        <v>101</v>
      </c>
      <c r="B105" s="0" t="n">
        <v>5.8</v>
      </c>
      <c r="C105" s="0" t="n">
        <v>2.7</v>
      </c>
      <c r="D105" s="0" t="n">
        <v>5.1</v>
      </c>
      <c r="E105" s="0" t="n">
        <v>1.9</v>
      </c>
      <c r="F105" s="6" t="n">
        <f aca="false">XGB_PREDICT(B105,C105,D105,E105,0)+0.5</f>
        <v>-1.5419213694</v>
      </c>
      <c r="G105" s="0" t="n">
        <f aca="false">XGB_PREDICT(B105,C105,D105,E105,1)+0.5</f>
        <v>-0.6284793115</v>
      </c>
      <c r="H105" s="7" t="n">
        <f aca="false">XGB_PREDICT(B105,C105,D105,E105,2)+0.5</f>
        <v>2.649849815</v>
      </c>
      <c r="I105" s="0" t="n">
        <v>-1.5419214</v>
      </c>
      <c r="J105" s="0" t="n">
        <v>-0.62847924</v>
      </c>
      <c r="K105" s="0" t="n">
        <v>2.6498497</v>
      </c>
      <c r="L105" s="8" t="n">
        <f aca="false">ABS(F105-I105)&gt;0.000001</f>
        <v>0</v>
      </c>
      <c r="M105" s="8" t="n">
        <f aca="false">ABS(G105-J105)&gt;0.000001</f>
        <v>0</v>
      </c>
      <c r="N105" s="8" t="n">
        <f aca="false">ABS(H105-K105)&gt;0.000001</f>
        <v>0</v>
      </c>
      <c r="O105" s="0" t="n">
        <f aca="false">EXP(F105)</f>
        <v>0.213969591596552</v>
      </c>
      <c r="P105" s="0" t="n">
        <f aca="false">EXP(G105)</f>
        <v>0.533402323353694</v>
      </c>
      <c r="Q105" s="0" t="n">
        <f aca="false">EXP(H105)</f>
        <v>14.1519130806998</v>
      </c>
      <c r="R105" s="9" t="n">
        <f aca="false">O105/SUM($O105:$Q105)</f>
        <v>0.014361064417455</v>
      </c>
      <c r="S105" s="9" t="n">
        <f aca="false">P105/SUM($O105:$Q105)</f>
        <v>0.0358005316033235</v>
      </c>
      <c r="T105" s="9" t="n">
        <f aca="false">Q105/SUM($O105:$Q105)</f>
        <v>0.949838403979221</v>
      </c>
      <c r="U105" s="9" t="n">
        <v>0.014361066</v>
      </c>
      <c r="V105" s="9" t="n">
        <v>0.03580054</v>
      </c>
      <c r="W105" s="9" t="n">
        <v>0.9498384</v>
      </c>
    </row>
    <row r="106" customFormat="false" ht="12.8" hidden="false" customHeight="false" outlineLevel="0" collapsed="false">
      <c r="A106" s="0" t="n">
        <v>102</v>
      </c>
      <c r="B106" s="0" t="n">
        <v>7.1</v>
      </c>
      <c r="C106" s="0" t="n">
        <v>3</v>
      </c>
      <c r="D106" s="0" t="n">
        <v>5.9</v>
      </c>
      <c r="E106" s="0" t="n">
        <v>2.1</v>
      </c>
      <c r="F106" s="6" t="n">
        <f aca="false">XGB_PREDICT(B106,C106,D106,E106,0)+0.5</f>
        <v>-1.5419213694</v>
      </c>
      <c r="G106" s="0" t="n">
        <f aca="false">XGB_PREDICT(B106,C106,D106,E106,1)+0.5</f>
        <v>-1.2801015448</v>
      </c>
      <c r="H106" s="7" t="n">
        <f aca="false">XGB_PREDICT(B106,C106,D106,E106,2)+0.5</f>
        <v>2.73294274257</v>
      </c>
      <c r="I106" s="0" t="n">
        <v>-1.5419214</v>
      </c>
      <c r="J106" s="0" t="n">
        <v>-1.2801015</v>
      </c>
      <c r="K106" s="0" t="n">
        <v>2.7329423</v>
      </c>
      <c r="L106" s="8" t="n">
        <f aca="false">ABS(F106-I106)&gt;0.000001</f>
        <v>0</v>
      </c>
      <c r="M106" s="8" t="n">
        <f aca="false">ABS(G106-J106)&gt;0.000001</f>
        <v>0</v>
      </c>
      <c r="N106" s="8" t="n">
        <f aca="false">ABS(H106-K106)&gt;0.000001</f>
        <v>0</v>
      </c>
      <c r="O106" s="0" t="n">
        <f aca="false">EXP(F106)</f>
        <v>0.213969591596552</v>
      </c>
      <c r="P106" s="0" t="n">
        <f aca="false">EXP(G106)</f>
        <v>0.278009068644548</v>
      </c>
      <c r="Q106" s="0" t="n">
        <f aca="false">EXP(H106)</f>
        <v>15.3780742137921</v>
      </c>
      <c r="R106" s="9" t="n">
        <f aca="false">O106/SUM($O106:$Q106)</f>
        <v>0.0134826010533747</v>
      </c>
      <c r="S106" s="9" t="n">
        <f aca="false">P106/SUM($O106:$Q106)</f>
        <v>0.0175178413614129</v>
      </c>
      <c r="T106" s="9" t="n">
        <f aca="false">Q106/SUM($O106:$Q106)</f>
        <v>0.968999557585213</v>
      </c>
      <c r="U106" s="9" t="n">
        <v>0.013482606</v>
      </c>
      <c r="V106" s="9" t="n">
        <v>0.017517848</v>
      </c>
      <c r="W106" s="9" t="n">
        <v>0.96899956</v>
      </c>
    </row>
    <row r="107" customFormat="false" ht="12.8" hidden="false" customHeight="false" outlineLevel="0" collapsed="false">
      <c r="A107" s="0" t="n">
        <v>103</v>
      </c>
      <c r="B107" s="0" t="n">
        <v>6.3</v>
      </c>
      <c r="C107" s="0" t="n">
        <v>2.9</v>
      </c>
      <c r="D107" s="0" t="n">
        <v>5.6</v>
      </c>
      <c r="E107" s="0" t="n">
        <v>1.8</v>
      </c>
      <c r="F107" s="6" t="n">
        <f aca="false">XGB_PREDICT(B107,C107,D107,E107,0)+0.5</f>
        <v>-1.5419213694</v>
      </c>
      <c r="G107" s="0" t="n">
        <f aca="false">XGB_PREDICT(B107,C107,D107,E107,1)+0.5</f>
        <v>-1.352278635</v>
      </c>
      <c r="H107" s="7" t="n">
        <f aca="false">XGB_PREDICT(B107,C107,D107,E107,2)+0.5</f>
        <v>2.9660256501</v>
      </c>
      <c r="I107" s="0" t="n">
        <v>-1.5419214</v>
      </c>
      <c r="J107" s="0" t="n">
        <v>-1.3522787</v>
      </c>
      <c r="K107" s="0" t="n">
        <v>2.966025</v>
      </c>
      <c r="L107" s="8" t="n">
        <f aca="false">ABS(F107-I107)&gt;0.000001</f>
        <v>0</v>
      </c>
      <c r="M107" s="8" t="n">
        <f aca="false">ABS(G107-J107)&gt;0.000001</f>
        <v>0</v>
      </c>
      <c r="N107" s="8" t="n">
        <f aca="false">ABS(H107-K107)&gt;0.000001</f>
        <v>0</v>
      </c>
      <c r="O107" s="0" t="n">
        <f aca="false">EXP(F107)</f>
        <v>0.213969591596552</v>
      </c>
      <c r="P107" s="0" t="n">
        <f aca="false">EXP(G107)</f>
        <v>0.258650219214403</v>
      </c>
      <c r="Q107" s="0" t="n">
        <f aca="false">EXP(H107)</f>
        <v>19.4146056254868</v>
      </c>
      <c r="R107" s="9" t="n">
        <f aca="false">O107/SUM($O107:$Q107)</f>
        <v>0.0107591474880161</v>
      </c>
      <c r="S107" s="9" t="n">
        <f aca="false">P107/SUM($O107:$Q107)</f>
        <v>0.0130058473990203</v>
      </c>
      <c r="T107" s="9" t="n">
        <f aca="false">Q107/SUM($O107:$Q107)</f>
        <v>0.976235005112964</v>
      </c>
      <c r="U107" s="9" t="n">
        <v>0.010759154</v>
      </c>
      <c r="V107" s="9" t="n">
        <v>0.013005851</v>
      </c>
      <c r="W107" s="9" t="n">
        <v>0.97623503</v>
      </c>
    </row>
    <row r="108" customFormat="false" ht="12.8" hidden="false" customHeight="false" outlineLevel="0" collapsed="false">
      <c r="A108" s="0" t="n">
        <v>104</v>
      </c>
      <c r="B108" s="0" t="n">
        <v>6.5</v>
      </c>
      <c r="C108" s="0" t="n">
        <v>3</v>
      </c>
      <c r="D108" s="0" t="n">
        <v>5.8</v>
      </c>
      <c r="E108" s="0" t="n">
        <v>2.2</v>
      </c>
      <c r="F108" s="6" t="n">
        <f aca="false">XGB_PREDICT(B108,C108,D108,E108,0)+0.5</f>
        <v>-1.5419213694</v>
      </c>
      <c r="G108" s="0" t="n">
        <f aca="false">XGB_PREDICT(B108,C108,D108,E108,1)+0.5</f>
        <v>-1.2801015448</v>
      </c>
      <c r="H108" s="7" t="n">
        <f aca="false">XGB_PREDICT(B108,C108,D108,E108,2)+0.5</f>
        <v>2.9660256501</v>
      </c>
      <c r="I108" s="0" t="n">
        <v>-1.5419214</v>
      </c>
      <c r="J108" s="0" t="n">
        <v>-1.2801015</v>
      </c>
      <c r="K108" s="0" t="n">
        <v>2.966025</v>
      </c>
      <c r="L108" s="8" t="n">
        <f aca="false">ABS(F108-I108)&gt;0.000001</f>
        <v>0</v>
      </c>
      <c r="M108" s="8" t="n">
        <f aca="false">ABS(G108-J108)&gt;0.000001</f>
        <v>0</v>
      </c>
      <c r="N108" s="8" t="n">
        <f aca="false">ABS(H108-K108)&gt;0.000001</f>
        <v>0</v>
      </c>
      <c r="O108" s="0" t="n">
        <f aca="false">EXP(F108)</f>
        <v>0.213969591596552</v>
      </c>
      <c r="P108" s="0" t="n">
        <f aca="false">EXP(G108)</f>
        <v>0.278009068644548</v>
      </c>
      <c r="Q108" s="0" t="n">
        <f aca="false">EXP(H108)</f>
        <v>19.4146056254868</v>
      </c>
      <c r="R108" s="9" t="n">
        <f aca="false">O108/SUM($O108:$Q108)</f>
        <v>0.0107486843812757</v>
      </c>
      <c r="S108" s="9" t="n">
        <f aca="false">P108/SUM($O108:$Q108)</f>
        <v>0.013965684150237</v>
      </c>
      <c r="T108" s="9" t="n">
        <f aca="false">Q108/SUM($O108:$Q108)</f>
        <v>0.975285631468487</v>
      </c>
      <c r="U108" s="9" t="n">
        <v>0.01074869</v>
      </c>
      <c r="V108" s="9" t="n">
        <v>0.013965691</v>
      </c>
      <c r="W108" s="9" t="n">
        <v>0.9752856</v>
      </c>
    </row>
    <row r="109" customFormat="false" ht="12.8" hidden="false" customHeight="false" outlineLevel="0" collapsed="false">
      <c r="A109" s="0" t="n">
        <v>105</v>
      </c>
      <c r="B109" s="0" t="n">
        <v>7.6</v>
      </c>
      <c r="C109" s="0" t="n">
        <v>3</v>
      </c>
      <c r="D109" s="0" t="n">
        <v>6.6</v>
      </c>
      <c r="E109" s="0" t="n">
        <v>2.1</v>
      </c>
      <c r="F109" s="6" t="n">
        <f aca="false">XGB_PREDICT(B109,C109,D109,E109,0)+0.5</f>
        <v>-1.5419213694</v>
      </c>
      <c r="G109" s="0" t="n">
        <f aca="false">XGB_PREDICT(B109,C109,D109,E109,1)+0.5</f>
        <v>-1.2801015448</v>
      </c>
      <c r="H109" s="7" t="n">
        <f aca="false">XGB_PREDICT(B109,C109,D109,E109,2)+0.5</f>
        <v>2.73294274257</v>
      </c>
      <c r="I109" s="0" t="n">
        <v>-1.5419214</v>
      </c>
      <c r="J109" s="0" t="n">
        <v>-1.2801015</v>
      </c>
      <c r="K109" s="0" t="n">
        <v>2.7329423</v>
      </c>
      <c r="L109" s="8" t="n">
        <f aca="false">ABS(F109-I109)&gt;0.000001</f>
        <v>0</v>
      </c>
      <c r="M109" s="8" t="n">
        <f aca="false">ABS(G109-J109)&gt;0.000001</f>
        <v>0</v>
      </c>
      <c r="N109" s="8" t="n">
        <f aca="false">ABS(H109-K109)&gt;0.000001</f>
        <v>0</v>
      </c>
      <c r="O109" s="0" t="n">
        <f aca="false">EXP(F109)</f>
        <v>0.213969591596552</v>
      </c>
      <c r="P109" s="0" t="n">
        <f aca="false">EXP(G109)</f>
        <v>0.278009068644548</v>
      </c>
      <c r="Q109" s="0" t="n">
        <f aca="false">EXP(H109)</f>
        <v>15.3780742137921</v>
      </c>
      <c r="R109" s="9" t="n">
        <f aca="false">O109/SUM($O109:$Q109)</f>
        <v>0.0134826010533747</v>
      </c>
      <c r="S109" s="9" t="n">
        <f aca="false">P109/SUM($O109:$Q109)</f>
        <v>0.0175178413614129</v>
      </c>
      <c r="T109" s="9" t="n">
        <f aca="false">Q109/SUM($O109:$Q109)</f>
        <v>0.968999557585213</v>
      </c>
      <c r="U109" s="9" t="n">
        <v>0.013482606</v>
      </c>
      <c r="V109" s="9" t="n">
        <v>0.017517848</v>
      </c>
      <c r="W109" s="9" t="n">
        <v>0.96899956</v>
      </c>
    </row>
    <row r="110" customFormat="false" ht="12.8" hidden="false" customHeight="false" outlineLevel="0" collapsed="false">
      <c r="A110" s="0" t="n">
        <v>106</v>
      </c>
      <c r="B110" s="0" t="n">
        <v>4.9</v>
      </c>
      <c r="C110" s="2" t="n">
        <v>2.5</v>
      </c>
      <c r="D110" s="2" t="n">
        <v>4.5</v>
      </c>
      <c r="E110" s="2" t="n">
        <v>1.7</v>
      </c>
      <c r="F110" s="6" t="n">
        <f aca="false">XGB_PREDICT(B110,C110,D110,E110,0)+0.5</f>
        <v>-1.5419213694</v>
      </c>
      <c r="G110" s="0" t="n">
        <f aca="false">XGB_PREDICT(B110,C110,D110,E110,1)+0.5</f>
        <v>0.9586654849</v>
      </c>
      <c r="H110" s="7" t="n">
        <f aca="false">XGB_PREDICT(B110,C110,D110,E110,2)+0.5</f>
        <v>1.57430774019103</v>
      </c>
      <c r="I110" s="0" t="n">
        <v>-1.5419214</v>
      </c>
      <c r="J110" s="0" t="n">
        <v>0.9586654</v>
      </c>
      <c r="K110" s="0" t="n">
        <v>1.5743078</v>
      </c>
      <c r="L110" s="8" t="n">
        <f aca="false">ABS(F110-I110)&gt;0.000001</f>
        <v>0</v>
      </c>
      <c r="M110" s="8" t="n">
        <f aca="false">ABS(G110-J110)&gt;0.000001</f>
        <v>0</v>
      </c>
      <c r="N110" s="8" t="n">
        <f aca="false">ABS(H110-K110)&gt;0.000001</f>
        <v>0</v>
      </c>
      <c r="O110" s="0" t="n">
        <f aca="false">EXP(F110)</f>
        <v>0.213969591596552</v>
      </c>
      <c r="P110" s="0" t="n">
        <f aca="false">EXP(G110)</f>
        <v>2.60821344963356</v>
      </c>
      <c r="Q110" s="0" t="n">
        <f aca="false">EXP(H110)</f>
        <v>4.82739864707629</v>
      </c>
      <c r="R110" s="9" t="n">
        <f aca="false">O110/SUM($O110:$Q110)</f>
        <v>0.0279714107666356</v>
      </c>
      <c r="S110" s="9" t="n">
        <f aca="false">P110/SUM($O110:$Q110)</f>
        <v>0.340961578803796</v>
      </c>
      <c r="T110" s="9" t="n">
        <f aca="false">Q110/SUM($O110:$Q110)</f>
        <v>0.631067010429568</v>
      </c>
      <c r="U110" s="9" t="n">
        <v>0.027971413</v>
      </c>
      <c r="V110" s="9" t="n">
        <v>0.34096155</v>
      </c>
      <c r="W110" s="9" t="n">
        <v>0.63106704</v>
      </c>
    </row>
    <row r="111" customFormat="false" ht="12.8" hidden="false" customHeight="false" outlineLevel="0" collapsed="false">
      <c r="A111" s="0" t="n">
        <v>107</v>
      </c>
      <c r="B111" s="0" t="n">
        <v>7.3</v>
      </c>
      <c r="C111" s="0" t="n">
        <v>2.9</v>
      </c>
      <c r="D111" s="0" t="n">
        <v>6.3</v>
      </c>
      <c r="E111" s="2" t="n">
        <v>1.8</v>
      </c>
      <c r="F111" s="6" t="n">
        <f aca="false">XGB_PREDICT(B111,C111,D111,E111,0)+0.5</f>
        <v>-1.5419213694</v>
      </c>
      <c r="G111" s="0" t="n">
        <f aca="false">XGB_PREDICT(B111,C111,D111,E111,1)+0.5</f>
        <v>-1.352278635</v>
      </c>
      <c r="H111" s="7" t="n">
        <f aca="false">XGB_PREDICT(B111,C111,D111,E111,2)+0.5</f>
        <v>2.73294274257</v>
      </c>
      <c r="I111" s="0" t="n">
        <v>-1.5419214</v>
      </c>
      <c r="J111" s="0" t="n">
        <v>-1.3522787</v>
      </c>
      <c r="K111" s="0" t="n">
        <v>2.7329423</v>
      </c>
      <c r="L111" s="8" t="n">
        <f aca="false">ABS(F111-I111)&gt;0.000001</f>
        <v>0</v>
      </c>
      <c r="M111" s="8" t="n">
        <f aca="false">ABS(G111-J111)&gt;0.000001</f>
        <v>0</v>
      </c>
      <c r="N111" s="8" t="n">
        <f aca="false">ABS(H111-K111)&gt;0.000001</f>
        <v>0</v>
      </c>
      <c r="O111" s="0" t="n">
        <f aca="false">EXP(F111)</f>
        <v>0.213969591596552</v>
      </c>
      <c r="P111" s="0" t="n">
        <f aca="false">EXP(G111)</f>
        <v>0.258650219214403</v>
      </c>
      <c r="Q111" s="0" t="n">
        <f aca="false">EXP(H111)</f>
        <v>15.3780742137921</v>
      </c>
      <c r="R111" s="9" t="n">
        <f aca="false">O111/SUM($O111:$Q111)</f>
        <v>0.0134990676915745</v>
      </c>
      <c r="S111" s="9" t="n">
        <f aca="false">P111/SUM($O111:$Q111)</f>
        <v>0.0163179113048888</v>
      </c>
      <c r="T111" s="9" t="n">
        <f aca="false">Q111/SUM($O111:$Q111)</f>
        <v>0.970183021003537</v>
      </c>
      <c r="U111" s="9" t="n">
        <v>0.013499073</v>
      </c>
      <c r="V111" s="9" t="n">
        <v>0.016317913</v>
      </c>
      <c r="W111" s="9" t="n">
        <v>0.970183</v>
      </c>
    </row>
    <row r="112" customFormat="false" ht="12.8" hidden="false" customHeight="false" outlineLevel="0" collapsed="false">
      <c r="A112" s="0" t="n">
        <v>108</v>
      </c>
      <c r="B112" s="0" t="n">
        <v>6.7</v>
      </c>
      <c r="C112" s="0" t="n">
        <v>2.5</v>
      </c>
      <c r="D112" s="0" t="n">
        <v>5.8</v>
      </c>
      <c r="E112" s="0" t="n">
        <v>1.8</v>
      </c>
      <c r="F112" s="6" t="n">
        <f aca="false">XGB_PREDICT(B112,C112,D112,E112,0)+0.5</f>
        <v>-1.5419213694</v>
      </c>
      <c r="G112" s="0" t="n">
        <f aca="false">XGB_PREDICT(B112,C112,D112,E112,1)+0.5</f>
        <v>-1.352278635</v>
      </c>
      <c r="H112" s="7" t="n">
        <f aca="false">XGB_PREDICT(B112,C112,D112,E112,2)+0.5</f>
        <v>2.73294274257</v>
      </c>
      <c r="I112" s="0" t="n">
        <v>-1.5419214</v>
      </c>
      <c r="J112" s="0" t="n">
        <v>-1.3522787</v>
      </c>
      <c r="K112" s="0" t="n">
        <v>2.7329423</v>
      </c>
      <c r="L112" s="8" t="n">
        <f aca="false">ABS(F112-I112)&gt;0.000001</f>
        <v>0</v>
      </c>
      <c r="M112" s="8" t="n">
        <f aca="false">ABS(G112-J112)&gt;0.000001</f>
        <v>0</v>
      </c>
      <c r="N112" s="8" t="n">
        <f aca="false">ABS(H112-K112)&gt;0.000001</f>
        <v>0</v>
      </c>
      <c r="O112" s="0" t="n">
        <f aca="false">EXP(F112)</f>
        <v>0.213969591596552</v>
      </c>
      <c r="P112" s="0" t="n">
        <f aca="false">EXP(G112)</f>
        <v>0.258650219214403</v>
      </c>
      <c r="Q112" s="0" t="n">
        <f aca="false">EXP(H112)</f>
        <v>15.3780742137921</v>
      </c>
      <c r="R112" s="9" t="n">
        <f aca="false">O112/SUM($O112:$Q112)</f>
        <v>0.0134990676915745</v>
      </c>
      <c r="S112" s="9" t="n">
        <f aca="false">P112/SUM($O112:$Q112)</f>
        <v>0.0163179113048888</v>
      </c>
      <c r="T112" s="9" t="n">
        <f aca="false">Q112/SUM($O112:$Q112)</f>
        <v>0.970183021003537</v>
      </c>
      <c r="U112" s="9" t="n">
        <v>0.013499073</v>
      </c>
      <c r="V112" s="9" t="n">
        <v>0.016317913</v>
      </c>
      <c r="W112" s="9" t="n">
        <v>0.970183</v>
      </c>
    </row>
    <row r="113" customFormat="false" ht="12.8" hidden="false" customHeight="false" outlineLevel="0" collapsed="false">
      <c r="A113" s="0" t="n">
        <v>109</v>
      </c>
      <c r="B113" s="0" t="n">
        <v>7.2</v>
      </c>
      <c r="C113" s="0" t="n">
        <v>3.6</v>
      </c>
      <c r="D113" s="0" t="n">
        <v>6.1</v>
      </c>
      <c r="E113" s="0" t="n">
        <v>2.5</v>
      </c>
      <c r="F113" s="6" t="n">
        <f aca="false">XGB_PREDICT(B113,C113,D113,E113,0)+0.5</f>
        <v>-1.5419213694</v>
      </c>
      <c r="G113" s="0" t="n">
        <f aca="false">XGB_PREDICT(B113,C113,D113,E113,1)+0.5</f>
        <v>-1.1763248142</v>
      </c>
      <c r="H113" s="7" t="n">
        <f aca="false">XGB_PREDICT(B113,C113,D113,E113,2)+0.5</f>
        <v>2.77805181429</v>
      </c>
      <c r="I113" s="0" t="n">
        <v>-1.5419214</v>
      </c>
      <c r="J113" s="0" t="n">
        <v>-1.1763248</v>
      </c>
      <c r="K113" s="0" t="n">
        <v>2.7780516</v>
      </c>
      <c r="L113" s="8" t="n">
        <f aca="false">ABS(F113-I113)&gt;0.000001</f>
        <v>0</v>
      </c>
      <c r="M113" s="8" t="n">
        <f aca="false">ABS(G113-J113)&gt;0.000001</f>
        <v>0</v>
      </c>
      <c r="N113" s="8" t="n">
        <f aca="false">ABS(H113-K113)&gt;0.000001</f>
        <v>0</v>
      </c>
      <c r="O113" s="0" t="n">
        <f aca="false">EXP(F113)</f>
        <v>0.213969591596552</v>
      </c>
      <c r="P113" s="0" t="n">
        <f aca="false">EXP(G113)</f>
        <v>0.308410122808</v>
      </c>
      <c r="Q113" s="0" t="n">
        <f aca="false">EXP(H113)</f>
        <v>16.0876486711907</v>
      </c>
      <c r="R113" s="9" t="n">
        <f aca="false">O113/SUM($O113:$Q113)</f>
        <v>0.0128819521935383</v>
      </c>
      <c r="S113" s="9" t="n">
        <f aca="false">P113/SUM($O113:$Q113)</f>
        <v>0.0185677059453711</v>
      </c>
      <c r="T113" s="9" t="n">
        <f aca="false">Q113/SUM($O113:$Q113)</f>
        <v>0.968550341861091</v>
      </c>
      <c r="U113" s="9" t="n">
        <v>0.012881955</v>
      </c>
      <c r="V113" s="9" t="n">
        <v>0.01856771</v>
      </c>
      <c r="W113" s="9" t="n">
        <v>0.9685504</v>
      </c>
    </row>
    <row r="114" customFormat="false" ht="12.8" hidden="false" customHeight="false" outlineLevel="0" collapsed="false">
      <c r="A114" s="0" t="n">
        <v>110</v>
      </c>
      <c r="B114" s="0" t="n">
        <v>6.5</v>
      </c>
      <c r="C114" s="0" t="n">
        <v>3.2</v>
      </c>
      <c r="D114" s="0" t="n">
        <v>5.1</v>
      </c>
      <c r="E114" s="0" t="n">
        <v>2</v>
      </c>
      <c r="F114" s="6" t="n">
        <f aca="false">XGB_PREDICT(B114,C114,D114,E114,0)+0.5</f>
        <v>-1.5419213694</v>
      </c>
      <c r="G114" s="0" t="n">
        <f aca="false">XGB_PREDICT(B114,C114,D114,E114,1)+0.5</f>
        <v>-0.5610057327</v>
      </c>
      <c r="H114" s="7" t="n">
        <f aca="false">XGB_PREDICT(B114,C114,D114,E114,2)+0.5</f>
        <v>1.51490668249</v>
      </c>
      <c r="I114" s="0" t="n">
        <v>-1.5419214</v>
      </c>
      <c r="J114" s="0" t="n">
        <v>-0.5610057</v>
      </c>
      <c r="K114" s="0" t="n">
        <v>1.5149068</v>
      </c>
      <c r="L114" s="8" t="n">
        <f aca="false">ABS(F114-I114)&gt;0.000001</f>
        <v>0</v>
      </c>
      <c r="M114" s="8" t="n">
        <f aca="false">ABS(G114-J114)&gt;0.000001</f>
        <v>0</v>
      </c>
      <c r="N114" s="8" t="n">
        <f aca="false">ABS(H114-K114)&gt;0.000001</f>
        <v>0</v>
      </c>
      <c r="O114" s="0" t="n">
        <f aca="false">EXP(F114)</f>
        <v>0.213969591596552</v>
      </c>
      <c r="P114" s="0" t="n">
        <f aca="false">EXP(G114)</f>
        <v>0.57063486900643</v>
      </c>
      <c r="Q114" s="0" t="n">
        <f aca="false">EXP(H114)</f>
        <v>4.54899660600207</v>
      </c>
      <c r="R114" s="9" t="n">
        <f aca="false">O114/SUM($O114:$Q114)</f>
        <v>0.0401172845371332</v>
      </c>
      <c r="S114" s="9" t="n">
        <f aca="false">P114/SUM($O114:$Q114)</f>
        <v>0.106988667108853</v>
      </c>
      <c r="T114" s="9" t="n">
        <f aca="false">Q114/SUM($O114:$Q114)</f>
        <v>0.852894048354014</v>
      </c>
      <c r="U114" s="9" t="n">
        <v>0.040117286</v>
      </c>
      <c r="V114" s="9" t="n">
        <v>0.10698866</v>
      </c>
      <c r="W114" s="9" t="n">
        <v>0.85289407</v>
      </c>
    </row>
    <row r="115" customFormat="false" ht="12.8" hidden="false" customHeight="false" outlineLevel="0" collapsed="false">
      <c r="A115" s="0" t="n">
        <v>111</v>
      </c>
      <c r="B115" s="0" t="n">
        <v>6.4</v>
      </c>
      <c r="C115" s="0" t="n">
        <v>2.7</v>
      </c>
      <c r="D115" s="0" t="n">
        <v>5.3</v>
      </c>
      <c r="E115" s="0" t="n">
        <v>1.9</v>
      </c>
      <c r="F115" s="6" t="n">
        <f aca="false">XGB_PREDICT(B115,C115,D115,E115,0)+0.5</f>
        <v>-1.5419213694</v>
      </c>
      <c r="G115" s="0" t="n">
        <f aca="false">XGB_PREDICT(B115,C115,D115,E115,1)+0.5</f>
        <v>-1.352278635</v>
      </c>
      <c r="H115" s="7" t="n">
        <f aca="false">XGB_PREDICT(B115,C115,D115,E115,2)+0.5</f>
        <v>2.9660256501</v>
      </c>
      <c r="I115" s="0" t="n">
        <v>-1.5419214</v>
      </c>
      <c r="J115" s="0" t="n">
        <v>-1.3522787</v>
      </c>
      <c r="K115" s="0" t="n">
        <v>2.966025</v>
      </c>
      <c r="L115" s="8" t="n">
        <f aca="false">ABS(F115-I115)&gt;0.000001</f>
        <v>0</v>
      </c>
      <c r="M115" s="8" t="n">
        <f aca="false">ABS(G115-J115)&gt;0.000001</f>
        <v>0</v>
      </c>
      <c r="N115" s="8" t="n">
        <f aca="false">ABS(H115-K115)&gt;0.000001</f>
        <v>0</v>
      </c>
      <c r="O115" s="0" t="n">
        <f aca="false">EXP(F115)</f>
        <v>0.213969591596552</v>
      </c>
      <c r="P115" s="0" t="n">
        <f aca="false">EXP(G115)</f>
        <v>0.258650219214403</v>
      </c>
      <c r="Q115" s="0" t="n">
        <f aca="false">EXP(H115)</f>
        <v>19.4146056254868</v>
      </c>
      <c r="R115" s="9" t="n">
        <f aca="false">O115/SUM($O115:$Q115)</f>
        <v>0.0107591474880161</v>
      </c>
      <c r="S115" s="9" t="n">
        <f aca="false">P115/SUM($O115:$Q115)</f>
        <v>0.0130058473990203</v>
      </c>
      <c r="T115" s="9" t="n">
        <f aca="false">Q115/SUM($O115:$Q115)</f>
        <v>0.976235005112964</v>
      </c>
      <c r="U115" s="9" t="n">
        <v>0.010759154</v>
      </c>
      <c r="V115" s="9" t="n">
        <v>0.013005851</v>
      </c>
      <c r="W115" s="9" t="n">
        <v>0.97623503</v>
      </c>
    </row>
    <row r="116" customFormat="false" ht="12.8" hidden="false" customHeight="false" outlineLevel="0" collapsed="false">
      <c r="A116" s="0" t="n">
        <v>112</v>
      </c>
      <c r="B116" s="0" t="n">
        <v>6.8</v>
      </c>
      <c r="C116" s="0" t="n">
        <v>3</v>
      </c>
      <c r="D116" s="0" t="n">
        <v>5.5</v>
      </c>
      <c r="E116" s="0" t="n">
        <v>2.1</v>
      </c>
      <c r="F116" s="6" t="n">
        <f aca="false">XGB_PREDICT(B116,C116,D116,E116,0)+0.5</f>
        <v>-1.5419213694</v>
      </c>
      <c r="G116" s="0" t="n">
        <f aca="false">XGB_PREDICT(B116,C116,D116,E116,1)+0.5</f>
        <v>-1.2801015448</v>
      </c>
      <c r="H116" s="7" t="n">
        <f aca="false">XGB_PREDICT(B116,C116,D116,E116,2)+0.5</f>
        <v>2.73294274257</v>
      </c>
      <c r="I116" s="0" t="n">
        <v>-1.5419214</v>
      </c>
      <c r="J116" s="0" t="n">
        <v>-1.2801015</v>
      </c>
      <c r="K116" s="0" t="n">
        <v>2.7329423</v>
      </c>
      <c r="L116" s="8" t="n">
        <f aca="false">ABS(F116-I116)&gt;0.000001</f>
        <v>0</v>
      </c>
      <c r="M116" s="8" t="n">
        <f aca="false">ABS(G116-J116)&gt;0.000001</f>
        <v>0</v>
      </c>
      <c r="N116" s="8" t="n">
        <f aca="false">ABS(H116-K116)&gt;0.000001</f>
        <v>0</v>
      </c>
      <c r="O116" s="0" t="n">
        <f aca="false">EXP(F116)</f>
        <v>0.213969591596552</v>
      </c>
      <c r="P116" s="0" t="n">
        <f aca="false">EXP(G116)</f>
        <v>0.278009068644548</v>
      </c>
      <c r="Q116" s="0" t="n">
        <f aca="false">EXP(H116)</f>
        <v>15.3780742137921</v>
      </c>
      <c r="R116" s="9" t="n">
        <f aca="false">O116/SUM($O116:$Q116)</f>
        <v>0.0134826010533747</v>
      </c>
      <c r="S116" s="9" t="n">
        <f aca="false">P116/SUM($O116:$Q116)</f>
        <v>0.0175178413614129</v>
      </c>
      <c r="T116" s="9" t="n">
        <f aca="false">Q116/SUM($O116:$Q116)</f>
        <v>0.968999557585213</v>
      </c>
      <c r="U116" s="9" t="n">
        <v>0.013482606</v>
      </c>
      <c r="V116" s="9" t="n">
        <v>0.017517848</v>
      </c>
      <c r="W116" s="9" t="n">
        <v>0.96899956</v>
      </c>
    </row>
    <row r="117" customFormat="false" ht="12.8" hidden="false" customHeight="false" outlineLevel="0" collapsed="false">
      <c r="A117" s="0" t="n">
        <v>113</v>
      </c>
      <c r="B117" s="0" t="n">
        <v>5.7</v>
      </c>
      <c r="C117" s="0" t="n">
        <v>2.5</v>
      </c>
      <c r="D117" s="0" t="n">
        <v>5</v>
      </c>
      <c r="E117" s="0" t="n">
        <v>2</v>
      </c>
      <c r="F117" s="6" t="n">
        <f aca="false">XGB_PREDICT(B117,C117,D117,E117,0)+0.5</f>
        <v>-1.5419213694</v>
      </c>
      <c r="G117" s="0" t="n">
        <f aca="false">XGB_PREDICT(B117,C117,D117,E117,1)+0.5</f>
        <v>-0.4051592626</v>
      </c>
      <c r="H117" s="7" t="n">
        <f aca="false">XGB_PREDICT(B117,C117,D117,E117,2)+0.5</f>
        <v>2.7493575406</v>
      </c>
      <c r="I117" s="0" t="n">
        <v>-1.5419214</v>
      </c>
      <c r="J117" s="0" t="n">
        <v>-0.40515935</v>
      </c>
      <c r="K117" s="0" t="n">
        <v>2.7493575</v>
      </c>
      <c r="L117" s="8" t="n">
        <f aca="false">ABS(F117-I117)&gt;0.000001</f>
        <v>0</v>
      </c>
      <c r="M117" s="8" t="n">
        <f aca="false">ABS(G117-J117)&gt;0.000001</f>
        <v>0</v>
      </c>
      <c r="N117" s="8" t="n">
        <f aca="false">ABS(H117-K117)&gt;0.000001</f>
        <v>0</v>
      </c>
      <c r="O117" s="0" t="n">
        <f aca="false">EXP(F117)</f>
        <v>0.213969591596552</v>
      </c>
      <c r="P117" s="0" t="n">
        <f aca="false">EXP(G117)</f>
        <v>0.66687059485578</v>
      </c>
      <c r="Q117" s="0" t="n">
        <f aca="false">EXP(H117)</f>
        <v>15.6325853558823</v>
      </c>
      <c r="R117" s="9" t="n">
        <f aca="false">O117/SUM($O117:$Q117)</f>
        <v>0.0129573110708017</v>
      </c>
      <c r="S117" s="9" t="n">
        <f aca="false">P117/SUM($O117:$Q117)</f>
        <v>0.0403835408435493</v>
      </c>
      <c r="T117" s="9" t="n">
        <f aca="false">Q117/SUM($O117:$Q117)</f>
        <v>0.946659148085649</v>
      </c>
      <c r="U117" s="9" t="n">
        <v>0.012957312</v>
      </c>
      <c r="V117" s="9" t="n">
        <v>0.040383548</v>
      </c>
      <c r="W117" s="9" t="n">
        <v>0.94665915</v>
      </c>
    </row>
    <row r="118" customFormat="false" ht="12.8" hidden="false" customHeight="false" outlineLevel="0" collapsed="false">
      <c r="A118" s="0" t="n">
        <v>114</v>
      </c>
      <c r="B118" s="0" t="n">
        <v>5.8</v>
      </c>
      <c r="C118" s="0" t="n">
        <v>2.8</v>
      </c>
      <c r="D118" s="0" t="n">
        <v>5.1</v>
      </c>
      <c r="E118" s="0" t="n">
        <v>2.4</v>
      </c>
      <c r="F118" s="6" t="n">
        <f aca="false">XGB_PREDICT(B118,C118,D118,E118,0)+0.5</f>
        <v>-1.5419213694</v>
      </c>
      <c r="G118" s="0" t="n">
        <f aca="false">XGB_PREDICT(B118,C118,D118,E118,1)+0.5</f>
        <v>-0.6284793115</v>
      </c>
      <c r="H118" s="7" t="n">
        <f aca="false">XGB_PREDICT(B118,C118,D118,E118,2)+0.5</f>
        <v>2.649849815</v>
      </c>
      <c r="I118" s="0" t="n">
        <v>-1.5419214</v>
      </c>
      <c r="J118" s="0" t="n">
        <v>-0.62847924</v>
      </c>
      <c r="K118" s="0" t="n">
        <v>2.6498497</v>
      </c>
      <c r="L118" s="8" t="n">
        <f aca="false">ABS(F118-I118)&gt;0.000001</f>
        <v>0</v>
      </c>
      <c r="M118" s="8" t="n">
        <f aca="false">ABS(G118-J118)&gt;0.000001</f>
        <v>0</v>
      </c>
      <c r="N118" s="8" t="n">
        <f aca="false">ABS(H118-K118)&gt;0.000001</f>
        <v>0</v>
      </c>
      <c r="O118" s="0" t="n">
        <f aca="false">EXP(F118)</f>
        <v>0.213969591596552</v>
      </c>
      <c r="P118" s="0" t="n">
        <f aca="false">EXP(G118)</f>
        <v>0.533402323353694</v>
      </c>
      <c r="Q118" s="0" t="n">
        <f aca="false">EXP(H118)</f>
        <v>14.1519130806998</v>
      </c>
      <c r="R118" s="9" t="n">
        <f aca="false">O118/SUM($O118:$Q118)</f>
        <v>0.014361064417455</v>
      </c>
      <c r="S118" s="9" t="n">
        <f aca="false">P118/SUM($O118:$Q118)</f>
        <v>0.0358005316033235</v>
      </c>
      <c r="T118" s="9" t="n">
        <f aca="false">Q118/SUM($O118:$Q118)</f>
        <v>0.949838403979221</v>
      </c>
      <c r="U118" s="9" t="n">
        <v>0.014361066</v>
      </c>
      <c r="V118" s="9" t="n">
        <v>0.03580054</v>
      </c>
      <c r="W118" s="9" t="n">
        <v>0.9498384</v>
      </c>
    </row>
    <row r="119" customFormat="false" ht="12.8" hidden="false" customHeight="false" outlineLevel="0" collapsed="false">
      <c r="A119" s="0" t="n">
        <v>115</v>
      </c>
      <c r="B119" s="0" t="n">
        <v>6.4</v>
      </c>
      <c r="C119" s="0" t="n">
        <v>3.2</v>
      </c>
      <c r="D119" s="0" t="n">
        <v>5.3</v>
      </c>
      <c r="E119" s="0" t="n">
        <v>2.3</v>
      </c>
      <c r="F119" s="6" t="n">
        <f aca="false">XGB_PREDICT(B119,C119,D119,E119,0)+0.5</f>
        <v>-1.5419213694</v>
      </c>
      <c r="G119" s="0" t="n">
        <f aca="false">XGB_PREDICT(B119,C119,D119,E119,1)+0.5</f>
        <v>-1.1763248142</v>
      </c>
      <c r="H119" s="7" t="n">
        <f aca="false">XGB_PREDICT(B119,C119,D119,E119,2)+0.5</f>
        <v>2.67371357259</v>
      </c>
      <c r="I119" s="0" t="n">
        <v>-1.5419214</v>
      </c>
      <c r="J119" s="0" t="n">
        <v>-1.1763248</v>
      </c>
      <c r="K119" s="0" t="n">
        <v>2.6737134</v>
      </c>
      <c r="L119" s="8" t="n">
        <f aca="false">ABS(F119-I119)&gt;0.000001</f>
        <v>0</v>
      </c>
      <c r="M119" s="8" t="n">
        <f aca="false">ABS(G119-J119)&gt;0.000001</f>
        <v>0</v>
      </c>
      <c r="N119" s="8" t="n">
        <f aca="false">ABS(H119-K119)&gt;0.000001</f>
        <v>0</v>
      </c>
      <c r="O119" s="0" t="n">
        <f aca="false">EXP(F119)</f>
        <v>0.213969591596552</v>
      </c>
      <c r="P119" s="0" t="n">
        <f aca="false">EXP(G119)</f>
        <v>0.308410122808</v>
      </c>
      <c r="Q119" s="0" t="n">
        <f aca="false">EXP(H119)</f>
        <v>14.4936927580373</v>
      </c>
      <c r="R119" s="9" t="n">
        <f aca="false">O119/SUM($O119:$Q119)</f>
        <v>0.0142493712646392</v>
      </c>
      <c r="S119" s="9" t="n">
        <f aca="false">P119/SUM($O119:$Q119)</f>
        <v>0.0205386677091502</v>
      </c>
      <c r="T119" s="9" t="n">
        <f aca="false">Q119/SUM($O119:$Q119)</f>
        <v>0.965211961026211</v>
      </c>
      <c r="U119" s="9" t="n">
        <v>0.014249373</v>
      </c>
      <c r="V119" s="9" t="n">
        <v>0.02053867</v>
      </c>
      <c r="W119" s="9" t="n">
        <v>0.965212</v>
      </c>
    </row>
    <row r="120" customFormat="false" ht="12.8" hidden="false" customHeight="false" outlineLevel="0" collapsed="false">
      <c r="A120" s="0" t="n">
        <v>116</v>
      </c>
      <c r="B120" s="0" t="n">
        <v>6.5</v>
      </c>
      <c r="C120" s="0" t="n">
        <v>3</v>
      </c>
      <c r="D120" s="0" t="n">
        <v>5.5</v>
      </c>
      <c r="E120" s="0" t="n">
        <v>1.8</v>
      </c>
      <c r="F120" s="6" t="n">
        <f aca="false">XGB_PREDICT(B120,C120,D120,E120,0)+0.5</f>
        <v>-1.5419213694</v>
      </c>
      <c r="G120" s="0" t="n">
        <f aca="false">XGB_PREDICT(B120,C120,D120,E120,1)+0.5</f>
        <v>-1.2801015448</v>
      </c>
      <c r="H120" s="7" t="n">
        <f aca="false">XGB_PREDICT(B120,C120,D120,E120,2)+0.5</f>
        <v>2.9660256501</v>
      </c>
      <c r="I120" s="0" t="n">
        <v>-1.5419214</v>
      </c>
      <c r="J120" s="0" t="n">
        <v>-1.2801015</v>
      </c>
      <c r="K120" s="0" t="n">
        <v>2.966025</v>
      </c>
      <c r="L120" s="8" t="n">
        <f aca="false">ABS(F120-I120)&gt;0.000001</f>
        <v>0</v>
      </c>
      <c r="M120" s="8" t="n">
        <f aca="false">ABS(G120-J120)&gt;0.000001</f>
        <v>0</v>
      </c>
      <c r="N120" s="8" t="n">
        <f aca="false">ABS(H120-K120)&gt;0.000001</f>
        <v>0</v>
      </c>
      <c r="O120" s="0" t="n">
        <f aca="false">EXP(F120)</f>
        <v>0.213969591596552</v>
      </c>
      <c r="P120" s="0" t="n">
        <f aca="false">EXP(G120)</f>
        <v>0.278009068644548</v>
      </c>
      <c r="Q120" s="0" t="n">
        <f aca="false">EXP(H120)</f>
        <v>19.4146056254868</v>
      </c>
      <c r="R120" s="9" t="n">
        <f aca="false">O120/SUM($O120:$Q120)</f>
        <v>0.0107486843812757</v>
      </c>
      <c r="S120" s="9" t="n">
        <f aca="false">P120/SUM($O120:$Q120)</f>
        <v>0.013965684150237</v>
      </c>
      <c r="T120" s="9" t="n">
        <f aca="false">Q120/SUM($O120:$Q120)</f>
        <v>0.975285631468487</v>
      </c>
      <c r="U120" s="9" t="n">
        <v>0.01074869</v>
      </c>
      <c r="V120" s="9" t="n">
        <v>0.013965691</v>
      </c>
      <c r="W120" s="9" t="n">
        <v>0.9752856</v>
      </c>
    </row>
    <row r="121" customFormat="false" ht="12.8" hidden="false" customHeight="false" outlineLevel="0" collapsed="false">
      <c r="A121" s="0" t="n">
        <v>117</v>
      </c>
      <c r="B121" s="0" t="n">
        <v>7.7</v>
      </c>
      <c r="C121" s="0" t="n">
        <v>3.8</v>
      </c>
      <c r="D121" s="0" t="n">
        <v>6.7</v>
      </c>
      <c r="E121" s="0" t="n">
        <v>2.2</v>
      </c>
      <c r="F121" s="6" t="n">
        <f aca="false">XGB_PREDICT(B121,C121,D121,E121,0)+0.5</f>
        <v>-1.5419213694</v>
      </c>
      <c r="G121" s="0" t="n">
        <f aca="false">XGB_PREDICT(B121,C121,D121,E121,1)+0.5</f>
        <v>-1.1763248142</v>
      </c>
      <c r="H121" s="7" t="n">
        <f aca="false">XGB_PREDICT(B121,C121,D121,E121,2)+0.5</f>
        <v>2.69139106599</v>
      </c>
      <c r="I121" s="0" t="n">
        <v>-1.5419214</v>
      </c>
      <c r="J121" s="0" t="n">
        <v>-1.1763248</v>
      </c>
      <c r="K121" s="0" t="n">
        <v>2.691391</v>
      </c>
      <c r="L121" s="8" t="n">
        <f aca="false">ABS(F121-I121)&gt;0.000001</f>
        <v>0</v>
      </c>
      <c r="M121" s="8" t="n">
        <f aca="false">ABS(G121-J121)&gt;0.000001</f>
        <v>0</v>
      </c>
      <c r="N121" s="8" t="n">
        <f aca="false">ABS(H121-K121)&gt;0.000001</f>
        <v>0</v>
      </c>
      <c r="O121" s="0" t="n">
        <f aca="false">EXP(F121)</f>
        <v>0.213969591596552</v>
      </c>
      <c r="P121" s="0" t="n">
        <f aca="false">EXP(G121)</f>
        <v>0.308410122808</v>
      </c>
      <c r="Q121" s="0" t="n">
        <f aca="false">EXP(H121)</f>
        <v>14.7521829137748</v>
      </c>
      <c r="R121" s="9" t="n">
        <f aca="false">O121/SUM($O121:$Q121)</f>
        <v>0.0140082303372673</v>
      </c>
      <c r="S121" s="9" t="n">
        <f aca="false">P121/SUM($O121:$Q121)</f>
        <v>0.0201910935399896</v>
      </c>
      <c r="T121" s="9" t="n">
        <f aca="false">Q121/SUM($O121:$Q121)</f>
        <v>0.965800676122743</v>
      </c>
      <c r="U121" s="9" t="n">
        <v>0.014008229</v>
      </c>
      <c r="V121" s="9" t="n">
        <v>0.020191096</v>
      </c>
      <c r="W121" s="9" t="n">
        <v>0.9658007</v>
      </c>
    </row>
    <row r="122" customFormat="false" ht="12.8" hidden="false" customHeight="false" outlineLevel="0" collapsed="false">
      <c r="A122" s="0" t="n">
        <v>118</v>
      </c>
      <c r="B122" s="0" t="n">
        <v>7.7</v>
      </c>
      <c r="C122" s="0" t="n">
        <v>2.6</v>
      </c>
      <c r="D122" s="0" t="n">
        <v>6.9</v>
      </c>
      <c r="E122" s="0" t="n">
        <v>2.3</v>
      </c>
      <c r="F122" s="6" t="n">
        <f aca="false">XGB_PREDICT(B122,C122,D122,E122,0)+0.5</f>
        <v>-1.5419213694</v>
      </c>
      <c r="G122" s="0" t="n">
        <f aca="false">XGB_PREDICT(B122,C122,D122,E122,1)+0.5</f>
        <v>-1.352278635</v>
      </c>
      <c r="H122" s="7" t="n">
        <f aca="false">XGB_PREDICT(B122,C122,D122,E122,2)+0.5</f>
        <v>2.73294274257</v>
      </c>
      <c r="I122" s="0" t="n">
        <v>-1.5419214</v>
      </c>
      <c r="J122" s="0" t="n">
        <v>-1.3522787</v>
      </c>
      <c r="K122" s="0" t="n">
        <v>2.7329423</v>
      </c>
      <c r="L122" s="8" t="n">
        <f aca="false">ABS(F122-I122)&gt;0.000001</f>
        <v>0</v>
      </c>
      <c r="M122" s="8" t="n">
        <f aca="false">ABS(G122-J122)&gt;0.000001</f>
        <v>0</v>
      </c>
      <c r="N122" s="8" t="n">
        <f aca="false">ABS(H122-K122)&gt;0.000001</f>
        <v>0</v>
      </c>
      <c r="O122" s="0" t="n">
        <f aca="false">EXP(F122)</f>
        <v>0.213969591596552</v>
      </c>
      <c r="P122" s="0" t="n">
        <f aca="false">EXP(G122)</f>
        <v>0.258650219214403</v>
      </c>
      <c r="Q122" s="0" t="n">
        <f aca="false">EXP(H122)</f>
        <v>15.3780742137921</v>
      </c>
      <c r="R122" s="9" t="n">
        <f aca="false">O122/SUM($O122:$Q122)</f>
        <v>0.0134990676915745</v>
      </c>
      <c r="S122" s="9" t="n">
        <f aca="false">P122/SUM($O122:$Q122)</f>
        <v>0.0163179113048888</v>
      </c>
      <c r="T122" s="9" t="n">
        <f aca="false">Q122/SUM($O122:$Q122)</f>
        <v>0.970183021003537</v>
      </c>
      <c r="U122" s="9" t="n">
        <v>0.013499073</v>
      </c>
      <c r="V122" s="9" t="n">
        <v>0.016317913</v>
      </c>
      <c r="W122" s="9" t="n">
        <v>0.970183</v>
      </c>
    </row>
    <row r="123" customFormat="false" ht="12.8" hidden="false" customHeight="false" outlineLevel="0" collapsed="false">
      <c r="A123" s="0" t="n">
        <v>119</v>
      </c>
      <c r="B123" s="0" t="n">
        <v>6</v>
      </c>
      <c r="C123" s="0" t="n">
        <v>2.2</v>
      </c>
      <c r="D123" s="0" t="n">
        <v>5</v>
      </c>
      <c r="E123" s="0" t="n">
        <v>1.5</v>
      </c>
      <c r="F123" s="6" t="n">
        <f aca="false">XGB_PREDICT(B123,C123,D123,E123,0)+0.5</f>
        <v>-1.5419213694</v>
      </c>
      <c r="G123" s="0" t="n">
        <f aca="false">XGB_PREDICT(B123,C123,D123,E123,1)+0.5</f>
        <v>0.961208236797675</v>
      </c>
      <c r="H123" s="7" t="n">
        <f aca="false">XGB_PREDICT(B123,C123,D123,E123,2)+0.5</f>
        <v>1.3630452657</v>
      </c>
      <c r="I123" s="0" t="n">
        <v>-1.5419214</v>
      </c>
      <c r="J123" s="0" t="n">
        <v>0.9612082</v>
      </c>
      <c r="K123" s="0" t="n">
        <v>1.3630452</v>
      </c>
      <c r="L123" s="8" t="n">
        <f aca="false">ABS(F123-I123)&gt;0.000001</f>
        <v>0</v>
      </c>
      <c r="M123" s="8" t="n">
        <f aca="false">ABS(G123-J123)&gt;0.000001</f>
        <v>0</v>
      </c>
      <c r="N123" s="8" t="n">
        <f aca="false">ABS(H123-K123)&gt;0.000001</f>
        <v>0</v>
      </c>
      <c r="O123" s="0" t="n">
        <f aca="false">EXP(F123)</f>
        <v>0.213969591596552</v>
      </c>
      <c r="P123" s="0" t="n">
        <f aca="false">EXP(G123)</f>
        <v>2.61485392829913</v>
      </c>
      <c r="Q123" s="0" t="n">
        <f aca="false">EXP(H123)</f>
        <v>3.90807632992348</v>
      </c>
      <c r="R123" s="9" t="n">
        <f aca="false">O123/SUM($O123:$Q123)</f>
        <v>0.0317608390159304</v>
      </c>
      <c r="S123" s="9" t="n">
        <f aca="false">P123/SUM($O123:$Q123)</f>
        <v>0.388139053064493</v>
      </c>
      <c r="T123" s="9" t="n">
        <f aca="false">Q123/SUM($O123:$Q123)</f>
        <v>0.580100107919577</v>
      </c>
      <c r="U123" s="9" t="n">
        <v>0.03176084</v>
      </c>
      <c r="V123" s="9" t="n">
        <v>0.38813904</v>
      </c>
      <c r="W123" s="9" t="n">
        <v>0.58010006</v>
      </c>
    </row>
    <row r="124" customFormat="false" ht="12.8" hidden="false" customHeight="false" outlineLevel="0" collapsed="false">
      <c r="A124" s="0" t="n">
        <v>120</v>
      </c>
      <c r="B124" s="0" t="n">
        <v>6.9</v>
      </c>
      <c r="C124" s="0" t="n">
        <v>3.2</v>
      </c>
      <c r="D124" s="0" t="n">
        <v>5.7</v>
      </c>
      <c r="E124" s="0" t="n">
        <v>2.3</v>
      </c>
      <c r="F124" s="6" t="n">
        <f aca="false">XGB_PREDICT(B124,C124,D124,E124,0)+0.5</f>
        <v>-1.5419213694</v>
      </c>
      <c r="G124" s="0" t="n">
        <f aca="false">XGB_PREDICT(B124,C124,D124,E124,1)+0.5</f>
        <v>-1.1763248142</v>
      </c>
      <c r="H124" s="7" t="n">
        <f aca="false">XGB_PREDICT(B124,C124,D124,E124,2)+0.5</f>
        <v>2.77805181429</v>
      </c>
      <c r="I124" s="0" t="n">
        <v>-1.5419214</v>
      </c>
      <c r="J124" s="0" t="n">
        <v>-1.1763248</v>
      </c>
      <c r="K124" s="0" t="n">
        <v>2.7780516</v>
      </c>
      <c r="L124" s="8" t="n">
        <f aca="false">ABS(F124-I124)&gt;0.000001</f>
        <v>0</v>
      </c>
      <c r="M124" s="8" t="n">
        <f aca="false">ABS(G124-J124)&gt;0.000001</f>
        <v>0</v>
      </c>
      <c r="N124" s="8" t="n">
        <f aca="false">ABS(H124-K124)&gt;0.000001</f>
        <v>0</v>
      </c>
      <c r="O124" s="0" t="n">
        <f aca="false">EXP(F124)</f>
        <v>0.213969591596552</v>
      </c>
      <c r="P124" s="0" t="n">
        <f aca="false">EXP(G124)</f>
        <v>0.308410122808</v>
      </c>
      <c r="Q124" s="0" t="n">
        <f aca="false">EXP(H124)</f>
        <v>16.0876486711907</v>
      </c>
      <c r="R124" s="9" t="n">
        <f aca="false">O124/SUM($O124:$Q124)</f>
        <v>0.0128819521935383</v>
      </c>
      <c r="S124" s="9" t="n">
        <f aca="false">P124/SUM($O124:$Q124)</f>
        <v>0.0185677059453711</v>
      </c>
      <c r="T124" s="9" t="n">
        <f aca="false">Q124/SUM($O124:$Q124)</f>
        <v>0.968550341861091</v>
      </c>
      <c r="U124" s="9" t="n">
        <v>0.012881955</v>
      </c>
      <c r="V124" s="9" t="n">
        <v>0.01856771</v>
      </c>
      <c r="W124" s="9" t="n">
        <v>0.9685504</v>
      </c>
    </row>
    <row r="125" customFormat="false" ht="12.8" hidden="false" customHeight="false" outlineLevel="0" collapsed="false">
      <c r="A125" s="0" t="n">
        <v>121</v>
      </c>
      <c r="B125" s="0" t="n">
        <v>5.6</v>
      </c>
      <c r="C125" s="0" t="n">
        <v>2.8</v>
      </c>
      <c r="D125" s="0" t="n">
        <v>4.9</v>
      </c>
      <c r="E125" s="0" t="n">
        <v>2</v>
      </c>
      <c r="F125" s="6" t="n">
        <f aca="false">XGB_PREDICT(B125,C125,D125,E125,0)+0.5</f>
        <v>-1.5419213694</v>
      </c>
      <c r="G125" s="0" t="n">
        <f aca="false">XGB_PREDICT(B125,C125,D125,E125,1)+0.5</f>
        <v>-0.3227392264</v>
      </c>
      <c r="H125" s="7" t="n">
        <f aca="false">XGB_PREDICT(B125,C125,D125,E125,2)+0.5</f>
        <v>2.6589925275</v>
      </c>
      <c r="I125" s="0" t="n">
        <v>-1.5419214</v>
      </c>
      <c r="J125" s="0" t="n">
        <v>-0.3227393</v>
      </c>
      <c r="K125" s="0" t="n">
        <v>2.6589925</v>
      </c>
      <c r="L125" s="8" t="n">
        <f aca="false">ABS(F125-I125)&gt;0.000001</f>
        <v>0</v>
      </c>
      <c r="M125" s="8" t="n">
        <f aca="false">ABS(G125-J125)&gt;0.000001</f>
        <v>0</v>
      </c>
      <c r="N125" s="8" t="n">
        <f aca="false">ABS(H125-K125)&gt;0.000001</f>
        <v>0</v>
      </c>
      <c r="O125" s="0" t="n">
        <f aca="false">EXP(F125)</f>
        <v>0.213969591596552</v>
      </c>
      <c r="P125" s="0" t="n">
        <f aca="false">EXP(G125)</f>
        <v>0.724162672254515</v>
      </c>
      <c r="Q125" s="0" t="n">
        <f aca="false">EXP(H125)</f>
        <v>14.2818932334954</v>
      </c>
      <c r="R125" s="9" t="n">
        <f aca="false">O125/SUM($O125:$Q125)</f>
        <v>0.0140584253051255</v>
      </c>
      <c r="S125" s="9" t="n">
        <f aca="false">P125/SUM($O125:$Q125)</f>
        <v>0.0475795965243795</v>
      </c>
      <c r="T125" s="9" t="n">
        <f aca="false">Q125/SUM($O125:$Q125)</f>
        <v>0.938361978170495</v>
      </c>
      <c r="U125" s="9" t="n">
        <v>0.014058426</v>
      </c>
      <c r="V125" s="9" t="n">
        <v>0.04757959</v>
      </c>
      <c r="W125" s="9" t="n">
        <v>0.938362</v>
      </c>
    </row>
    <row r="126" customFormat="false" ht="12.8" hidden="false" customHeight="false" outlineLevel="0" collapsed="false">
      <c r="A126" s="0" t="n">
        <v>122</v>
      </c>
      <c r="B126" s="0" t="n">
        <v>7.7</v>
      </c>
      <c r="C126" s="0" t="n">
        <v>2.8</v>
      </c>
      <c r="D126" s="0" t="n">
        <v>6.7</v>
      </c>
      <c r="E126" s="0" t="n">
        <v>2</v>
      </c>
      <c r="F126" s="6" t="n">
        <f aca="false">XGB_PREDICT(B126,C126,D126,E126,0)+0.5</f>
        <v>-1.5419213694</v>
      </c>
      <c r="G126" s="0" t="n">
        <f aca="false">XGB_PREDICT(B126,C126,D126,E126,1)+0.5</f>
        <v>-1.352278635</v>
      </c>
      <c r="H126" s="7" t="n">
        <f aca="false">XGB_PREDICT(B126,C126,D126,E126,2)+0.5</f>
        <v>2.73294274257</v>
      </c>
      <c r="I126" s="0" t="n">
        <v>-1.5419214</v>
      </c>
      <c r="J126" s="0" t="n">
        <v>-1.3522787</v>
      </c>
      <c r="K126" s="0" t="n">
        <v>2.7329423</v>
      </c>
      <c r="L126" s="8" t="n">
        <f aca="false">ABS(F126-I126)&gt;0.000001</f>
        <v>0</v>
      </c>
      <c r="M126" s="8" t="n">
        <f aca="false">ABS(G126-J126)&gt;0.000001</f>
        <v>0</v>
      </c>
      <c r="N126" s="8" t="n">
        <f aca="false">ABS(H126-K126)&gt;0.000001</f>
        <v>0</v>
      </c>
      <c r="O126" s="0" t="n">
        <f aca="false">EXP(F126)</f>
        <v>0.213969591596552</v>
      </c>
      <c r="P126" s="0" t="n">
        <f aca="false">EXP(G126)</f>
        <v>0.258650219214403</v>
      </c>
      <c r="Q126" s="0" t="n">
        <f aca="false">EXP(H126)</f>
        <v>15.3780742137921</v>
      </c>
      <c r="R126" s="9" t="n">
        <f aca="false">O126/SUM($O126:$Q126)</f>
        <v>0.0134990676915745</v>
      </c>
      <c r="S126" s="9" t="n">
        <f aca="false">P126/SUM($O126:$Q126)</f>
        <v>0.0163179113048888</v>
      </c>
      <c r="T126" s="9" t="n">
        <f aca="false">Q126/SUM($O126:$Q126)</f>
        <v>0.970183021003537</v>
      </c>
      <c r="U126" s="9" t="n">
        <v>0.013499073</v>
      </c>
      <c r="V126" s="9" t="n">
        <v>0.016317913</v>
      </c>
      <c r="W126" s="9" t="n">
        <v>0.970183</v>
      </c>
    </row>
    <row r="127" customFormat="false" ht="12.8" hidden="false" customHeight="false" outlineLevel="0" collapsed="false">
      <c r="A127" s="0" t="n">
        <v>123</v>
      </c>
      <c r="B127" s="0" t="n">
        <v>6.3</v>
      </c>
      <c r="C127" s="0" t="n">
        <v>2.7</v>
      </c>
      <c r="D127" s="0" t="n">
        <v>4.9</v>
      </c>
      <c r="E127" s="0" t="n">
        <v>1.8</v>
      </c>
      <c r="F127" s="6" t="n">
        <f aca="false">XGB_PREDICT(B127,C127,D127,E127,0)+0.5</f>
        <v>-1.5419213694</v>
      </c>
      <c r="G127" s="0" t="n">
        <f aca="false">XGB_PREDICT(B127,C127,D127,E127,1)+0.5</f>
        <v>-0.4312194684</v>
      </c>
      <c r="H127" s="7" t="n">
        <f aca="false">XGB_PREDICT(B127,C127,D127,E127,2)+0.5</f>
        <v>2.6589925275</v>
      </c>
      <c r="I127" s="0" t="n">
        <v>-1.5419214</v>
      </c>
      <c r="J127" s="0" t="n">
        <v>-0.43121952</v>
      </c>
      <c r="K127" s="0" t="n">
        <v>2.6589925</v>
      </c>
      <c r="L127" s="8" t="n">
        <f aca="false">ABS(F127-I127)&gt;0.000001</f>
        <v>0</v>
      </c>
      <c r="M127" s="8" t="n">
        <f aca="false">ABS(G127-J127)&gt;0.000001</f>
        <v>0</v>
      </c>
      <c r="N127" s="8" t="n">
        <f aca="false">ABS(H127-K127)&gt;0.000001</f>
        <v>0</v>
      </c>
      <c r="O127" s="0" t="n">
        <f aca="false">EXP(F127)</f>
        <v>0.213969591596552</v>
      </c>
      <c r="P127" s="0" t="n">
        <f aca="false">EXP(G127)</f>
        <v>0.649716302928906</v>
      </c>
      <c r="Q127" s="0" t="n">
        <f aca="false">EXP(H127)</f>
        <v>14.2818932334954</v>
      </c>
      <c r="R127" s="9" t="n">
        <f aca="false">O127/SUM($O127:$Q127)</f>
        <v>0.0141275278936469</v>
      </c>
      <c r="S127" s="9" t="n">
        <f aca="false">P127/SUM($O127:$Q127)</f>
        <v>0.0428980824989956</v>
      </c>
      <c r="T127" s="9" t="n">
        <f aca="false">Q127/SUM($O127:$Q127)</f>
        <v>0.942974389607357</v>
      </c>
      <c r="U127" s="9" t="n">
        <v>0.014127528</v>
      </c>
      <c r="V127" s="9" t="n">
        <v>0.042898078</v>
      </c>
      <c r="W127" s="9" t="n">
        <v>0.9429744</v>
      </c>
    </row>
    <row r="128" customFormat="false" ht="12.8" hidden="false" customHeight="false" outlineLevel="0" collapsed="false">
      <c r="A128" s="0" t="n">
        <v>124</v>
      </c>
      <c r="B128" s="0" t="n">
        <v>6.7</v>
      </c>
      <c r="C128" s="0" t="n">
        <v>3.3</v>
      </c>
      <c r="D128" s="0" t="n">
        <v>5.7</v>
      </c>
      <c r="E128" s="0" t="n">
        <v>2.1</v>
      </c>
      <c r="F128" s="6" t="n">
        <f aca="false">XGB_PREDICT(B128,C128,D128,E128,0)+0.5</f>
        <v>-1.5419213694</v>
      </c>
      <c r="G128" s="0" t="n">
        <f aca="false">XGB_PREDICT(B128,C128,D128,E128,1)+0.5</f>
        <v>-1.1763248142</v>
      </c>
      <c r="H128" s="7" t="n">
        <f aca="false">XGB_PREDICT(B128,C128,D128,E128,2)+0.5</f>
        <v>2.69139106599</v>
      </c>
      <c r="I128" s="0" t="n">
        <v>-1.5419214</v>
      </c>
      <c r="J128" s="0" t="n">
        <v>-1.1763248</v>
      </c>
      <c r="K128" s="0" t="n">
        <v>2.691391</v>
      </c>
      <c r="L128" s="8" t="n">
        <f aca="false">ABS(F128-I128)&gt;0.000001</f>
        <v>0</v>
      </c>
      <c r="M128" s="8" t="n">
        <f aca="false">ABS(G128-J128)&gt;0.000001</f>
        <v>0</v>
      </c>
      <c r="N128" s="8" t="n">
        <f aca="false">ABS(H128-K128)&gt;0.000001</f>
        <v>0</v>
      </c>
      <c r="O128" s="0" t="n">
        <f aca="false">EXP(F128)</f>
        <v>0.213969591596552</v>
      </c>
      <c r="P128" s="0" t="n">
        <f aca="false">EXP(G128)</f>
        <v>0.308410122808</v>
      </c>
      <c r="Q128" s="0" t="n">
        <f aca="false">EXP(H128)</f>
        <v>14.7521829137748</v>
      </c>
      <c r="R128" s="9" t="n">
        <f aca="false">O128/SUM($O128:$Q128)</f>
        <v>0.0140082303372673</v>
      </c>
      <c r="S128" s="9" t="n">
        <f aca="false">P128/SUM($O128:$Q128)</f>
        <v>0.0201910935399896</v>
      </c>
      <c r="T128" s="9" t="n">
        <f aca="false">Q128/SUM($O128:$Q128)</f>
        <v>0.965800676122743</v>
      </c>
      <c r="U128" s="9" t="n">
        <v>0.014008229</v>
      </c>
      <c r="V128" s="9" t="n">
        <v>0.020191096</v>
      </c>
      <c r="W128" s="9" t="n">
        <v>0.9658007</v>
      </c>
    </row>
    <row r="129" customFormat="false" ht="12.8" hidden="false" customHeight="false" outlineLevel="0" collapsed="false">
      <c r="A129" s="0" t="n">
        <v>125</v>
      </c>
      <c r="B129" s="0" t="n">
        <v>7.2</v>
      </c>
      <c r="C129" s="0" t="n">
        <v>3.2</v>
      </c>
      <c r="D129" s="0" t="n">
        <v>6</v>
      </c>
      <c r="E129" s="0" t="n">
        <v>1.8</v>
      </c>
      <c r="F129" s="6" t="n">
        <f aca="false">XGB_PREDICT(B129,C129,D129,E129,0)+0.5</f>
        <v>-1.5419213694</v>
      </c>
      <c r="G129" s="0" t="n">
        <f aca="false">XGB_PREDICT(B129,C129,D129,E129,1)+0.5</f>
        <v>-1.1763248142</v>
      </c>
      <c r="H129" s="7" t="n">
        <f aca="false">XGB_PREDICT(B129,C129,D129,E129,2)+0.5</f>
        <v>2.69139106599</v>
      </c>
      <c r="I129" s="0" t="n">
        <v>-1.5419214</v>
      </c>
      <c r="J129" s="0" t="n">
        <v>-1.1763248</v>
      </c>
      <c r="K129" s="0" t="n">
        <v>2.691391</v>
      </c>
      <c r="L129" s="8" t="n">
        <f aca="false">ABS(F129-I129)&gt;0.000001</f>
        <v>0</v>
      </c>
      <c r="M129" s="8" t="n">
        <f aca="false">ABS(G129-J129)&gt;0.000001</f>
        <v>0</v>
      </c>
      <c r="N129" s="8" t="n">
        <f aca="false">ABS(H129-K129)&gt;0.000001</f>
        <v>0</v>
      </c>
      <c r="O129" s="0" t="n">
        <f aca="false">EXP(F129)</f>
        <v>0.213969591596552</v>
      </c>
      <c r="P129" s="0" t="n">
        <f aca="false">EXP(G129)</f>
        <v>0.308410122808</v>
      </c>
      <c r="Q129" s="0" t="n">
        <f aca="false">EXP(H129)</f>
        <v>14.7521829137748</v>
      </c>
      <c r="R129" s="9" t="n">
        <f aca="false">O129/SUM($O129:$Q129)</f>
        <v>0.0140082303372673</v>
      </c>
      <c r="S129" s="9" t="n">
        <f aca="false">P129/SUM($O129:$Q129)</f>
        <v>0.0201910935399896</v>
      </c>
      <c r="T129" s="9" t="n">
        <f aca="false">Q129/SUM($O129:$Q129)</f>
        <v>0.965800676122743</v>
      </c>
      <c r="U129" s="9" t="n">
        <v>0.014008229</v>
      </c>
      <c r="V129" s="9" t="n">
        <v>0.020191096</v>
      </c>
      <c r="W129" s="9" t="n">
        <v>0.9658007</v>
      </c>
    </row>
    <row r="130" customFormat="false" ht="12.8" hidden="false" customHeight="false" outlineLevel="0" collapsed="false">
      <c r="A130" s="0" t="n">
        <v>126</v>
      </c>
      <c r="B130" s="0" t="n">
        <v>6.2</v>
      </c>
      <c r="C130" s="0" t="n">
        <v>2.8</v>
      </c>
      <c r="D130" s="0" t="n">
        <v>4.8</v>
      </c>
      <c r="E130" s="0" t="n">
        <v>1.8</v>
      </c>
      <c r="F130" s="6" t="n">
        <f aca="false">XGB_PREDICT(B130,C130,D130,E130,0)+0.5</f>
        <v>-1.5419213694</v>
      </c>
      <c r="G130" s="0" t="n">
        <f aca="false">XGB_PREDICT(B130,C130,D130,E130,1)+0.5</f>
        <v>0.0697946627510304</v>
      </c>
      <c r="H130" s="7" t="n">
        <f aca="false">XGB_PREDICT(B130,C130,D130,E130,2)+0.5</f>
        <v>1.9339337743</v>
      </c>
      <c r="I130" s="0" t="n">
        <v>-1.5419214</v>
      </c>
      <c r="J130" s="0" t="n">
        <v>0.069794685</v>
      </c>
      <c r="K130" s="0" t="n">
        <v>1.933934</v>
      </c>
      <c r="L130" s="8" t="n">
        <f aca="false">ABS(F130-I130)&gt;0.000001</f>
        <v>0</v>
      </c>
      <c r="M130" s="8" t="n">
        <f aca="false">ABS(G130-J130)&gt;0.000001</f>
        <v>0</v>
      </c>
      <c r="N130" s="8" t="n">
        <f aca="false">ABS(H130-K130)&gt;0.000001</f>
        <v>0</v>
      </c>
      <c r="O130" s="0" t="n">
        <f aca="false">EXP(F130)</f>
        <v>0.213969591596552</v>
      </c>
      <c r="P130" s="0" t="n">
        <f aca="false">EXP(G130)</f>
        <v>1.07228797798352</v>
      </c>
      <c r="Q130" s="0" t="n">
        <f aca="false">EXP(H130)</f>
        <v>6.91666539601565</v>
      </c>
      <c r="R130" s="9" t="n">
        <f aca="false">O130/SUM($O130:$Q130)</f>
        <v>0.0260845545537819</v>
      </c>
      <c r="S130" s="9" t="n">
        <f aca="false">P130/SUM($O130:$Q130)</f>
        <v>0.13072023015221</v>
      </c>
      <c r="T130" s="9" t="n">
        <f aca="false">Q130/SUM($O130:$Q130)</f>
        <v>0.843195215294008</v>
      </c>
      <c r="U130" s="9" t="n">
        <v>0.02608455</v>
      </c>
      <c r="V130" s="9" t="n">
        <v>0.1307202</v>
      </c>
      <c r="W130" s="9" t="n">
        <v>0.84319526</v>
      </c>
    </row>
    <row r="131" customFormat="false" ht="12.8" hidden="false" customHeight="false" outlineLevel="0" collapsed="false">
      <c r="A131" s="0" t="n">
        <v>127</v>
      </c>
      <c r="B131" s="0" t="n">
        <v>6.1</v>
      </c>
      <c r="C131" s="0" t="n">
        <v>3</v>
      </c>
      <c r="D131" s="0" t="n">
        <v>4.9</v>
      </c>
      <c r="E131" s="0" t="n">
        <v>1.8</v>
      </c>
      <c r="F131" s="6" t="n">
        <f aca="false">XGB_PREDICT(B131,C131,D131,E131,0)+0.5</f>
        <v>-1.5419213694</v>
      </c>
      <c r="G131" s="0" t="n">
        <f aca="false">XGB_PREDICT(B131,C131,D131,E131,1)+0.5</f>
        <v>-0.3590423782</v>
      </c>
      <c r="H131" s="7" t="n">
        <f aca="false">XGB_PREDICT(B131,C131,D131,E131,2)+0.5</f>
        <v>1.5978023431</v>
      </c>
      <c r="I131" s="0" t="n">
        <v>-1.5419214</v>
      </c>
      <c r="J131" s="0" t="n">
        <v>-0.3590424</v>
      </c>
      <c r="K131" s="0" t="n">
        <v>1.5978023</v>
      </c>
      <c r="L131" s="8" t="n">
        <f aca="false">ABS(F131-I131)&gt;0.000001</f>
        <v>0</v>
      </c>
      <c r="M131" s="8" t="n">
        <f aca="false">ABS(G131-J131)&gt;0.000001</f>
        <v>0</v>
      </c>
      <c r="N131" s="8" t="n">
        <f aca="false">ABS(H131-K131)&gt;0.000001</f>
        <v>0</v>
      </c>
      <c r="O131" s="0" t="n">
        <f aca="false">EXP(F131)</f>
        <v>0.213969591596552</v>
      </c>
      <c r="P131" s="0" t="n">
        <f aca="false">EXP(G131)</f>
        <v>0.698344756130738</v>
      </c>
      <c r="Q131" s="0" t="n">
        <f aca="false">EXP(H131)</f>
        <v>4.94215931057468</v>
      </c>
      <c r="R131" s="9" t="n">
        <f aca="false">O131/SUM($O131:$Q131)</f>
        <v>0.0365480492500178</v>
      </c>
      <c r="S131" s="9" t="n">
        <f aca="false">P131/SUM($O131:$Q131)</f>
        <v>0.119283952220102</v>
      </c>
      <c r="T131" s="9" t="n">
        <f aca="false">Q131/SUM($O131:$Q131)</f>
        <v>0.84416799852988</v>
      </c>
      <c r="U131" s="9" t="n">
        <v>0.036548045</v>
      </c>
      <c r="V131" s="9" t="n">
        <v>0.11928395</v>
      </c>
      <c r="W131" s="9" t="n">
        <v>0.844168</v>
      </c>
    </row>
    <row r="132" customFormat="false" ht="12.8" hidden="false" customHeight="false" outlineLevel="0" collapsed="false">
      <c r="A132" s="0" t="n">
        <v>128</v>
      </c>
      <c r="B132" s="0" t="n">
        <v>6.4</v>
      </c>
      <c r="C132" s="0" t="n">
        <v>2.8</v>
      </c>
      <c r="D132" s="0" t="n">
        <v>5.6</v>
      </c>
      <c r="E132" s="0" t="n">
        <v>2.1</v>
      </c>
      <c r="F132" s="6" t="n">
        <f aca="false">XGB_PREDICT(B132,C132,D132,E132,0)+0.5</f>
        <v>-1.5419213694</v>
      </c>
      <c r="G132" s="0" t="n">
        <f aca="false">XGB_PREDICT(B132,C132,D132,E132,1)+0.5</f>
        <v>-1.352278635</v>
      </c>
      <c r="H132" s="7" t="n">
        <f aca="false">XGB_PREDICT(B132,C132,D132,E132,2)+0.5</f>
        <v>2.9660256501</v>
      </c>
      <c r="I132" s="0" t="n">
        <v>-1.5419214</v>
      </c>
      <c r="J132" s="0" t="n">
        <v>-1.3522787</v>
      </c>
      <c r="K132" s="0" t="n">
        <v>2.966025</v>
      </c>
      <c r="L132" s="8" t="n">
        <f aca="false">ABS(F132-I132)&gt;0.000001</f>
        <v>0</v>
      </c>
      <c r="M132" s="8" t="n">
        <f aca="false">ABS(G132-J132)&gt;0.000001</f>
        <v>0</v>
      </c>
      <c r="N132" s="8" t="n">
        <f aca="false">ABS(H132-K132)&gt;0.000001</f>
        <v>0</v>
      </c>
      <c r="O132" s="0" t="n">
        <f aca="false">EXP(F132)</f>
        <v>0.213969591596552</v>
      </c>
      <c r="P132" s="0" t="n">
        <f aca="false">EXP(G132)</f>
        <v>0.258650219214403</v>
      </c>
      <c r="Q132" s="0" t="n">
        <f aca="false">EXP(H132)</f>
        <v>19.4146056254868</v>
      </c>
      <c r="R132" s="9" t="n">
        <f aca="false">O132/SUM($O132:$Q132)</f>
        <v>0.0107591474880161</v>
      </c>
      <c r="S132" s="9" t="n">
        <f aca="false">P132/SUM($O132:$Q132)</f>
        <v>0.0130058473990203</v>
      </c>
      <c r="T132" s="9" t="n">
        <f aca="false">Q132/SUM($O132:$Q132)</f>
        <v>0.976235005112964</v>
      </c>
      <c r="U132" s="9" t="n">
        <v>0.010759154</v>
      </c>
      <c r="V132" s="9" t="n">
        <v>0.013005851</v>
      </c>
      <c r="W132" s="9" t="n">
        <v>0.97623503</v>
      </c>
    </row>
    <row r="133" customFormat="false" ht="12.8" hidden="false" customHeight="false" outlineLevel="0" collapsed="false">
      <c r="A133" s="0" t="n">
        <v>129</v>
      </c>
      <c r="B133" s="0" t="n">
        <v>7.2</v>
      </c>
      <c r="C133" s="0" t="n">
        <v>3</v>
      </c>
      <c r="D133" s="0" t="n">
        <v>5.8</v>
      </c>
      <c r="E133" s="0" t="n">
        <v>1.6</v>
      </c>
      <c r="F133" s="6" t="n">
        <f aca="false">XGB_PREDICT(B133,C133,D133,E133,0)+0.5</f>
        <v>-1.5419213694</v>
      </c>
      <c r="G133" s="0" t="n">
        <f aca="false">XGB_PREDICT(B133,C133,D133,E133,1)+0.5</f>
        <v>-0.300862548732325</v>
      </c>
      <c r="H133" s="7" t="n">
        <f aca="false">XGB_PREDICT(B133,C133,D133,E133,2)+0.5</f>
        <v>1.7768400882</v>
      </c>
      <c r="I133" s="0" t="n">
        <v>-1.5419214</v>
      </c>
      <c r="J133" s="0" t="n">
        <v>-0.3008625</v>
      </c>
      <c r="K133" s="0" t="n">
        <v>1.77684</v>
      </c>
      <c r="L133" s="8" t="n">
        <f aca="false">ABS(F133-I133)&gt;0.000001</f>
        <v>0</v>
      </c>
      <c r="M133" s="8" t="n">
        <f aca="false">ABS(G133-J133)&gt;0.000001</f>
        <v>0</v>
      </c>
      <c r="N133" s="8" t="n">
        <f aca="false">ABS(H133-K133)&gt;0.000001</f>
        <v>0</v>
      </c>
      <c r="O133" s="0" t="n">
        <f aca="false">EXP(F133)</f>
        <v>0.213969591596552</v>
      </c>
      <c r="P133" s="0" t="n">
        <f aca="false">EXP(G133)</f>
        <v>0.740179504366159</v>
      </c>
      <c r="Q133" s="0" t="n">
        <f aca="false">EXP(H133)</f>
        <v>5.91114816909778</v>
      </c>
      <c r="R133" s="9" t="n">
        <f aca="false">O133/SUM($O133:$Q133)</f>
        <v>0.0311668356569942</v>
      </c>
      <c r="S133" s="9" t="n">
        <f aca="false">P133/SUM($O133:$Q133)</f>
        <v>0.107814632897711</v>
      </c>
      <c r="T133" s="9" t="n">
        <f aca="false">Q133/SUM($O133:$Q133)</f>
        <v>0.861018531445295</v>
      </c>
      <c r="U133" s="9" t="n">
        <v>0.031166838</v>
      </c>
      <c r="V133" s="9" t="n">
        <v>0.10781465</v>
      </c>
      <c r="W133" s="9" t="n">
        <v>0.8610185</v>
      </c>
    </row>
    <row r="134" customFormat="false" ht="12.8" hidden="false" customHeight="false" outlineLevel="0" collapsed="false">
      <c r="A134" s="0" t="n">
        <v>130</v>
      </c>
      <c r="B134" s="0" t="n">
        <v>7.4</v>
      </c>
      <c r="C134" s="0" t="n">
        <v>2.8</v>
      </c>
      <c r="D134" s="0" t="n">
        <v>6.1</v>
      </c>
      <c r="E134" s="0" t="n">
        <v>1.9</v>
      </c>
      <c r="F134" s="6" t="n">
        <f aca="false">XGB_PREDICT(B134,C134,D134,E134,0)+0.5</f>
        <v>-1.5419213694</v>
      </c>
      <c r="G134" s="0" t="n">
        <f aca="false">XGB_PREDICT(B134,C134,D134,E134,1)+0.5</f>
        <v>-1.352278635</v>
      </c>
      <c r="H134" s="7" t="n">
        <f aca="false">XGB_PREDICT(B134,C134,D134,E134,2)+0.5</f>
        <v>2.73294274257</v>
      </c>
      <c r="I134" s="0" t="n">
        <v>-1.5419214</v>
      </c>
      <c r="J134" s="0" t="n">
        <v>-1.3522787</v>
      </c>
      <c r="K134" s="0" t="n">
        <v>2.7329423</v>
      </c>
      <c r="L134" s="8" t="n">
        <f aca="false">ABS(F134-I134)&gt;0.000001</f>
        <v>0</v>
      </c>
      <c r="M134" s="8" t="n">
        <f aca="false">ABS(G134-J134)&gt;0.000001</f>
        <v>0</v>
      </c>
      <c r="N134" s="8" t="n">
        <f aca="false">ABS(H134-K134)&gt;0.000001</f>
        <v>0</v>
      </c>
      <c r="O134" s="0" t="n">
        <f aca="false">EXP(F134)</f>
        <v>0.213969591596552</v>
      </c>
      <c r="P134" s="0" t="n">
        <f aca="false">EXP(G134)</f>
        <v>0.258650219214403</v>
      </c>
      <c r="Q134" s="0" t="n">
        <f aca="false">EXP(H134)</f>
        <v>15.3780742137921</v>
      </c>
      <c r="R134" s="9" t="n">
        <f aca="false">O134/SUM($O134:$Q134)</f>
        <v>0.0134990676915745</v>
      </c>
      <c r="S134" s="9" t="n">
        <f aca="false">P134/SUM($O134:$Q134)</f>
        <v>0.0163179113048888</v>
      </c>
      <c r="T134" s="9" t="n">
        <f aca="false">Q134/SUM($O134:$Q134)</f>
        <v>0.970183021003537</v>
      </c>
      <c r="U134" s="9" t="n">
        <v>0.013499073</v>
      </c>
      <c r="V134" s="9" t="n">
        <v>0.016317913</v>
      </c>
      <c r="W134" s="9" t="n">
        <v>0.970183</v>
      </c>
    </row>
    <row r="135" customFormat="false" ht="12.8" hidden="false" customHeight="false" outlineLevel="0" collapsed="false">
      <c r="A135" s="0" t="n">
        <v>131</v>
      </c>
      <c r="B135" s="0" t="n">
        <v>7.9</v>
      </c>
      <c r="C135" s="0" t="n">
        <v>3.8</v>
      </c>
      <c r="D135" s="0" t="n">
        <v>6.4</v>
      </c>
      <c r="E135" s="0" t="n">
        <v>2</v>
      </c>
      <c r="F135" s="6" t="n">
        <f aca="false">XGB_PREDICT(B135,C135,D135,E135,0)+0.5</f>
        <v>-1.5419213694</v>
      </c>
      <c r="G135" s="0" t="n">
        <f aca="false">XGB_PREDICT(B135,C135,D135,E135,1)+0.5</f>
        <v>-1.1763248142</v>
      </c>
      <c r="H135" s="7" t="n">
        <f aca="false">XGB_PREDICT(B135,C135,D135,E135,2)+0.5</f>
        <v>2.69139106599</v>
      </c>
      <c r="I135" s="0" t="n">
        <v>-1.5419214</v>
      </c>
      <c r="J135" s="0" t="n">
        <v>-1.1763248</v>
      </c>
      <c r="K135" s="0" t="n">
        <v>2.691391</v>
      </c>
      <c r="L135" s="8" t="n">
        <f aca="false">ABS(F135-I135)&gt;0.000001</f>
        <v>0</v>
      </c>
      <c r="M135" s="8" t="n">
        <f aca="false">ABS(G135-J135)&gt;0.000001</f>
        <v>0</v>
      </c>
      <c r="N135" s="8" t="n">
        <f aca="false">ABS(H135-K135)&gt;0.000001</f>
        <v>0</v>
      </c>
      <c r="O135" s="0" t="n">
        <f aca="false">EXP(F135)</f>
        <v>0.213969591596552</v>
      </c>
      <c r="P135" s="0" t="n">
        <f aca="false">EXP(G135)</f>
        <v>0.308410122808</v>
      </c>
      <c r="Q135" s="0" t="n">
        <f aca="false">EXP(H135)</f>
        <v>14.7521829137748</v>
      </c>
      <c r="R135" s="9" t="n">
        <f aca="false">O135/SUM($O135:$Q135)</f>
        <v>0.0140082303372673</v>
      </c>
      <c r="S135" s="9" t="n">
        <f aca="false">P135/SUM($O135:$Q135)</f>
        <v>0.0201910935399896</v>
      </c>
      <c r="T135" s="9" t="n">
        <f aca="false">Q135/SUM($O135:$Q135)</f>
        <v>0.965800676122743</v>
      </c>
      <c r="U135" s="9" t="n">
        <v>0.014008229</v>
      </c>
      <c r="V135" s="9" t="n">
        <v>0.020191096</v>
      </c>
      <c r="W135" s="9" t="n">
        <v>0.9658007</v>
      </c>
    </row>
    <row r="136" customFormat="false" ht="12.8" hidden="false" customHeight="false" outlineLevel="0" collapsed="false">
      <c r="A136" s="0" t="n">
        <v>132</v>
      </c>
      <c r="B136" s="0" t="n">
        <v>6.4</v>
      </c>
      <c r="C136" s="0" t="n">
        <v>2.8</v>
      </c>
      <c r="D136" s="0" t="n">
        <v>5.6</v>
      </c>
      <c r="E136" s="0" t="n">
        <v>2.2</v>
      </c>
      <c r="F136" s="6" t="n">
        <f aca="false">XGB_PREDICT(B136,C136,D136,E136,0)+0.5</f>
        <v>-1.5419213694</v>
      </c>
      <c r="G136" s="0" t="n">
        <f aca="false">XGB_PREDICT(B136,C136,D136,E136,1)+0.5</f>
        <v>-1.352278635</v>
      </c>
      <c r="H136" s="7" t="n">
        <f aca="false">XGB_PREDICT(B136,C136,D136,E136,2)+0.5</f>
        <v>2.9660256501</v>
      </c>
      <c r="I136" s="0" t="n">
        <v>-1.5419214</v>
      </c>
      <c r="J136" s="0" t="n">
        <v>-1.3522787</v>
      </c>
      <c r="K136" s="0" t="n">
        <v>2.966025</v>
      </c>
      <c r="L136" s="8" t="n">
        <f aca="false">ABS(F136-I136)&gt;0.000001</f>
        <v>0</v>
      </c>
      <c r="M136" s="8" t="n">
        <f aca="false">ABS(G136-J136)&gt;0.000001</f>
        <v>0</v>
      </c>
      <c r="N136" s="8" t="n">
        <f aca="false">ABS(H136-K136)&gt;0.000001</f>
        <v>0</v>
      </c>
      <c r="O136" s="0" t="n">
        <f aca="false">EXP(F136)</f>
        <v>0.213969591596552</v>
      </c>
      <c r="P136" s="0" t="n">
        <f aca="false">EXP(G136)</f>
        <v>0.258650219214403</v>
      </c>
      <c r="Q136" s="0" t="n">
        <f aca="false">EXP(H136)</f>
        <v>19.4146056254868</v>
      </c>
      <c r="R136" s="9" t="n">
        <f aca="false">O136/SUM($O136:$Q136)</f>
        <v>0.0107591474880161</v>
      </c>
      <c r="S136" s="9" t="n">
        <f aca="false">P136/SUM($O136:$Q136)</f>
        <v>0.0130058473990203</v>
      </c>
      <c r="T136" s="9" t="n">
        <f aca="false">Q136/SUM($O136:$Q136)</f>
        <v>0.976235005112964</v>
      </c>
      <c r="U136" s="9" t="n">
        <v>0.010759154</v>
      </c>
      <c r="V136" s="9" t="n">
        <v>0.013005851</v>
      </c>
      <c r="W136" s="9" t="n">
        <v>0.97623503</v>
      </c>
    </row>
    <row r="137" customFormat="false" ht="12.8" hidden="false" customHeight="false" outlineLevel="0" collapsed="false">
      <c r="A137" s="0" t="n">
        <v>133</v>
      </c>
      <c r="B137" s="0" t="n">
        <v>6.3</v>
      </c>
      <c r="C137" s="0" t="n">
        <v>2.8</v>
      </c>
      <c r="D137" s="0" t="n">
        <v>5.1</v>
      </c>
      <c r="E137" s="0" t="n">
        <v>1.5</v>
      </c>
      <c r="F137" s="6" t="n">
        <f aca="false">XGB_PREDICT(B137,C137,D137,E137,0)+0.5</f>
        <v>-1.5419213694</v>
      </c>
      <c r="G137" s="0" t="n">
        <f aca="false">XGB_PREDICT(B137,C137,D137,E137,1)+0.5</f>
        <v>1.03488706976767</v>
      </c>
      <c r="H137" s="7" t="n">
        <f aca="false">XGB_PREDICT(B137,C137,D137,E137,2)+0.5</f>
        <v>1.7520661776</v>
      </c>
      <c r="I137" s="0" t="n">
        <v>-1.5419214</v>
      </c>
      <c r="J137" s="0" t="n">
        <v>1.0348871</v>
      </c>
      <c r="K137" s="0" t="n">
        <v>1.7520661</v>
      </c>
      <c r="L137" s="8" t="n">
        <f aca="false">ABS(F137-I137)&gt;0.000001</f>
        <v>0</v>
      </c>
      <c r="M137" s="8" t="n">
        <f aca="false">ABS(G137-J137)&gt;0.000001</f>
        <v>0</v>
      </c>
      <c r="N137" s="8" t="n">
        <f aca="false">ABS(H137-K137)&gt;0.000001</f>
        <v>0</v>
      </c>
      <c r="O137" s="0" t="n">
        <f aca="false">EXP(F137)</f>
        <v>0.213969591596552</v>
      </c>
      <c r="P137" s="0" t="n">
        <f aca="false">EXP(G137)</f>
        <v>2.81478834297304</v>
      </c>
      <c r="Q137" s="0" t="n">
        <f aca="false">EXP(H137)</f>
        <v>5.76650499907411</v>
      </c>
      <c r="R137" s="9" t="n">
        <f aca="false">O137/SUM($O137:$Q137)</f>
        <v>0.0243278220572661</v>
      </c>
      <c r="S137" s="9" t="n">
        <f aca="false">P137/SUM($O137:$Q137)</f>
        <v>0.320034587278328</v>
      </c>
      <c r="T137" s="9" t="n">
        <f aca="false">Q137/SUM($O137:$Q137)</f>
        <v>0.655637590664406</v>
      </c>
      <c r="U137" s="9" t="n">
        <v>0.024327822</v>
      </c>
      <c r="V137" s="9" t="n">
        <v>0.3200346</v>
      </c>
      <c r="W137" s="9" t="n">
        <v>0.65563756</v>
      </c>
    </row>
    <row r="138" customFormat="false" ht="12.8" hidden="false" customHeight="false" outlineLevel="0" collapsed="false">
      <c r="A138" s="0" t="n">
        <v>134</v>
      </c>
      <c r="B138" s="0" t="n">
        <v>6.1</v>
      </c>
      <c r="C138" s="0" t="n">
        <v>2.6</v>
      </c>
      <c r="D138" s="0" t="n">
        <v>5.6</v>
      </c>
      <c r="E138" s="0" t="n">
        <v>1.4</v>
      </c>
      <c r="F138" s="6" t="n">
        <f aca="false">XGB_PREDICT(B138,C138,D138,E138,0)+0.5</f>
        <v>-1.5419213694</v>
      </c>
      <c r="G138" s="0" t="n">
        <f aca="false">XGB_PREDICT(B138,C138,D138,E138,1)+0.5</f>
        <v>-0.389494268132325</v>
      </c>
      <c r="H138" s="7" t="n">
        <f aca="false">XGB_PREDICT(B138,C138,D138,E138,2)+0.5</f>
        <v>2.0682420127</v>
      </c>
      <c r="I138" s="0" t="n">
        <v>-1.5419214</v>
      </c>
      <c r="J138" s="0" t="n">
        <v>-0.38949424</v>
      </c>
      <c r="K138" s="0" t="n">
        <v>2.068242</v>
      </c>
      <c r="L138" s="8" t="n">
        <f aca="false">ABS(F138-I138)&gt;0.000001</f>
        <v>0</v>
      </c>
      <c r="M138" s="8" t="n">
        <f aca="false">ABS(G138-J138)&gt;0.000001</f>
        <v>0</v>
      </c>
      <c r="N138" s="8" t="n">
        <f aca="false">ABS(H138-K138)&gt;0.000001</f>
        <v>0</v>
      </c>
      <c r="O138" s="0" t="n">
        <f aca="false">EXP(F138)</f>
        <v>0.213969591596552</v>
      </c>
      <c r="P138" s="0" t="n">
        <f aca="false">EXP(G138)</f>
        <v>0.677399370334056</v>
      </c>
      <c r="Q138" s="0" t="n">
        <f aca="false">EXP(H138)</f>
        <v>7.91090361819025</v>
      </c>
      <c r="R138" s="9" t="n">
        <f aca="false">O138/SUM($O138:$Q138)</f>
        <v>0.0243084487158218</v>
      </c>
      <c r="S138" s="9" t="n">
        <f aca="false">P138/SUM($O138:$Q138)</f>
        <v>0.0769573271184424</v>
      </c>
      <c r="T138" s="9" t="n">
        <f aca="false">Q138/SUM($O138:$Q138)</f>
        <v>0.898734224165736</v>
      </c>
      <c r="U138" s="9" t="n">
        <v>0.024308447</v>
      </c>
      <c r="V138" s="9" t="n">
        <v>0.07695733</v>
      </c>
      <c r="W138" s="9" t="n">
        <v>0.8987342</v>
      </c>
    </row>
    <row r="139" customFormat="false" ht="12.8" hidden="false" customHeight="false" outlineLevel="0" collapsed="false">
      <c r="A139" s="0" t="n">
        <v>135</v>
      </c>
      <c r="B139" s="0" t="n">
        <v>7.7</v>
      </c>
      <c r="C139" s="0" t="n">
        <v>3</v>
      </c>
      <c r="D139" s="0" t="n">
        <v>6.1</v>
      </c>
      <c r="E139" s="0" t="n">
        <v>2.3</v>
      </c>
      <c r="F139" s="6" t="n">
        <f aca="false">XGB_PREDICT(B139,C139,D139,E139,0)+0.5</f>
        <v>-1.5419213694</v>
      </c>
      <c r="G139" s="0" t="n">
        <f aca="false">XGB_PREDICT(B139,C139,D139,E139,1)+0.5</f>
        <v>-1.2801015448</v>
      </c>
      <c r="H139" s="7" t="n">
        <f aca="false">XGB_PREDICT(B139,C139,D139,E139,2)+0.5</f>
        <v>2.73294274257</v>
      </c>
      <c r="I139" s="0" t="n">
        <v>-1.5419214</v>
      </c>
      <c r="J139" s="0" t="n">
        <v>-1.2801015</v>
      </c>
      <c r="K139" s="0" t="n">
        <v>2.7329423</v>
      </c>
      <c r="L139" s="8" t="n">
        <f aca="false">ABS(F139-I139)&gt;0.000001</f>
        <v>0</v>
      </c>
      <c r="M139" s="8" t="n">
        <f aca="false">ABS(G139-J139)&gt;0.000001</f>
        <v>0</v>
      </c>
      <c r="N139" s="8" t="n">
        <f aca="false">ABS(H139-K139)&gt;0.000001</f>
        <v>0</v>
      </c>
      <c r="O139" s="0" t="n">
        <f aca="false">EXP(F139)</f>
        <v>0.213969591596552</v>
      </c>
      <c r="P139" s="0" t="n">
        <f aca="false">EXP(G139)</f>
        <v>0.278009068644548</v>
      </c>
      <c r="Q139" s="0" t="n">
        <f aca="false">EXP(H139)</f>
        <v>15.3780742137921</v>
      </c>
      <c r="R139" s="9" t="n">
        <f aca="false">O139/SUM($O139:$Q139)</f>
        <v>0.0134826010533747</v>
      </c>
      <c r="S139" s="9" t="n">
        <f aca="false">P139/SUM($O139:$Q139)</f>
        <v>0.0175178413614129</v>
      </c>
      <c r="T139" s="9" t="n">
        <f aca="false">Q139/SUM($O139:$Q139)</f>
        <v>0.968999557585213</v>
      </c>
      <c r="U139" s="9" t="n">
        <v>0.013482606</v>
      </c>
      <c r="V139" s="9" t="n">
        <v>0.017517848</v>
      </c>
      <c r="W139" s="9" t="n">
        <v>0.96899956</v>
      </c>
    </row>
    <row r="140" customFormat="false" ht="12.8" hidden="false" customHeight="false" outlineLevel="0" collapsed="false">
      <c r="A140" s="0" t="n">
        <v>136</v>
      </c>
      <c r="B140" s="0" t="n">
        <v>6.3</v>
      </c>
      <c r="C140" s="0" t="n">
        <v>3.4</v>
      </c>
      <c r="D140" s="0" t="n">
        <v>5.6</v>
      </c>
      <c r="E140" s="0" t="n">
        <v>2.4</v>
      </c>
      <c r="F140" s="6" t="n">
        <f aca="false">XGB_PREDICT(B140,C140,D140,E140,0)+0.5</f>
        <v>-1.5419213694</v>
      </c>
      <c r="G140" s="0" t="n">
        <f aca="false">XGB_PREDICT(B140,C140,D140,E140,1)+0.5</f>
        <v>-1.1763248142</v>
      </c>
      <c r="H140" s="7" t="n">
        <f aca="false">XGB_PREDICT(B140,C140,D140,E140,2)+0.5</f>
        <v>2.77805181429</v>
      </c>
      <c r="I140" s="0" t="n">
        <v>-1.5419214</v>
      </c>
      <c r="J140" s="0" t="n">
        <v>-1.1763248</v>
      </c>
      <c r="K140" s="0" t="n">
        <v>2.7780516</v>
      </c>
      <c r="L140" s="8" t="n">
        <f aca="false">ABS(F140-I140)&gt;0.000001</f>
        <v>0</v>
      </c>
      <c r="M140" s="8" t="n">
        <f aca="false">ABS(G140-J140)&gt;0.000001</f>
        <v>0</v>
      </c>
      <c r="N140" s="8" t="n">
        <f aca="false">ABS(H140-K140)&gt;0.000001</f>
        <v>0</v>
      </c>
      <c r="O140" s="0" t="n">
        <f aca="false">EXP(F140)</f>
        <v>0.213969591596552</v>
      </c>
      <c r="P140" s="0" t="n">
        <f aca="false">EXP(G140)</f>
        <v>0.308410122808</v>
      </c>
      <c r="Q140" s="0" t="n">
        <f aca="false">EXP(H140)</f>
        <v>16.0876486711907</v>
      </c>
      <c r="R140" s="9" t="n">
        <f aca="false">O140/SUM($O140:$Q140)</f>
        <v>0.0128819521935383</v>
      </c>
      <c r="S140" s="9" t="n">
        <f aca="false">P140/SUM($O140:$Q140)</f>
        <v>0.0185677059453711</v>
      </c>
      <c r="T140" s="9" t="n">
        <f aca="false">Q140/SUM($O140:$Q140)</f>
        <v>0.968550341861091</v>
      </c>
      <c r="U140" s="9" t="n">
        <v>0.012881955</v>
      </c>
      <c r="V140" s="9" t="n">
        <v>0.01856771</v>
      </c>
      <c r="W140" s="9" t="n">
        <v>0.9685504</v>
      </c>
    </row>
    <row r="141" customFormat="false" ht="12.8" hidden="false" customHeight="false" outlineLevel="0" collapsed="false">
      <c r="A141" s="0" t="n">
        <v>137</v>
      </c>
      <c r="B141" s="0" t="n">
        <v>6.4</v>
      </c>
      <c r="C141" s="0" t="n">
        <v>3.1</v>
      </c>
      <c r="D141" s="0" t="n">
        <v>5.5</v>
      </c>
      <c r="E141" s="0" t="n">
        <v>1.8</v>
      </c>
      <c r="F141" s="6" t="n">
        <f aca="false">XGB_PREDICT(B141,C141,D141,E141,0)+0.5</f>
        <v>-1.5419213694</v>
      </c>
      <c r="G141" s="0" t="n">
        <f aca="false">XGB_PREDICT(B141,C141,D141,E141,1)+0.5</f>
        <v>-1.1763248142</v>
      </c>
      <c r="H141" s="7" t="n">
        <f aca="false">XGB_PREDICT(B141,C141,D141,E141,2)+0.5</f>
        <v>2.9660256501</v>
      </c>
      <c r="I141" s="0" t="n">
        <v>-1.5419214</v>
      </c>
      <c r="J141" s="0" t="n">
        <v>-1.1763248</v>
      </c>
      <c r="K141" s="0" t="n">
        <v>2.966025</v>
      </c>
      <c r="L141" s="8" t="n">
        <f aca="false">ABS(F141-I141)&gt;0.000001</f>
        <v>0</v>
      </c>
      <c r="M141" s="8" t="n">
        <f aca="false">ABS(G141-J141)&gt;0.000001</f>
        <v>0</v>
      </c>
      <c r="N141" s="8" t="n">
        <f aca="false">ABS(H141-K141)&gt;0.000001</f>
        <v>0</v>
      </c>
      <c r="O141" s="0" t="n">
        <f aca="false">EXP(F141)</f>
        <v>0.213969591596552</v>
      </c>
      <c r="P141" s="0" t="n">
        <f aca="false">EXP(G141)</f>
        <v>0.308410122808</v>
      </c>
      <c r="Q141" s="0" t="n">
        <f aca="false">EXP(H141)</f>
        <v>19.4146056254868</v>
      </c>
      <c r="R141" s="9" t="n">
        <f aca="false">O141/SUM($O141:$Q141)</f>
        <v>0.0107322941733034</v>
      </c>
      <c r="S141" s="9" t="n">
        <f aca="false">P141/SUM($O141:$Q141)</f>
        <v>0.0154692456030908</v>
      </c>
      <c r="T141" s="9" t="n">
        <f aca="false">Q141/SUM($O141:$Q141)</f>
        <v>0.973798460223606</v>
      </c>
      <c r="U141" s="9" t="n">
        <v>0.010732301</v>
      </c>
      <c r="V141" s="9" t="n">
        <v>0.015469251</v>
      </c>
      <c r="W141" s="9" t="n">
        <v>0.9737985</v>
      </c>
    </row>
    <row r="142" customFormat="false" ht="12.8" hidden="false" customHeight="false" outlineLevel="0" collapsed="false">
      <c r="A142" s="0" t="n">
        <v>138</v>
      </c>
      <c r="B142" s="0" t="n">
        <v>6</v>
      </c>
      <c r="C142" s="0" t="n">
        <v>3</v>
      </c>
      <c r="D142" s="0" t="n">
        <v>4.8</v>
      </c>
      <c r="E142" s="0" t="n">
        <v>1.8</v>
      </c>
      <c r="F142" s="6" t="n">
        <f aca="false">XGB_PREDICT(B142,C142,D142,E142,0)+0.5</f>
        <v>-1.5419213694</v>
      </c>
      <c r="G142" s="0" t="n">
        <f aca="false">XGB_PREDICT(B142,C142,D142,E142,1)+0.5</f>
        <v>0.14197175295103</v>
      </c>
      <c r="H142" s="7" t="n">
        <f aca="false">XGB_PREDICT(B142,C142,D142,E142,2)+0.5</f>
        <v>0.8727435899</v>
      </c>
      <c r="I142" s="0" t="n">
        <v>-1.5419214</v>
      </c>
      <c r="J142" s="0" t="n">
        <v>0.14197177</v>
      </c>
      <c r="K142" s="0" t="n">
        <v>0.8727437</v>
      </c>
      <c r="L142" s="8" t="n">
        <f aca="false">ABS(F142-I142)&gt;0.000001</f>
        <v>0</v>
      </c>
      <c r="M142" s="8" t="n">
        <f aca="false">ABS(G142-J142)&gt;0.000001</f>
        <v>0</v>
      </c>
      <c r="N142" s="8" t="n">
        <f aca="false">ABS(H142-K142)&gt;0.000001</f>
        <v>0</v>
      </c>
      <c r="O142" s="0" t="n">
        <f aca="false">EXP(F142)</f>
        <v>0.213969591596552</v>
      </c>
      <c r="P142" s="0" t="n">
        <f aca="false">EXP(G142)</f>
        <v>1.15254409210779</v>
      </c>
      <c r="Q142" s="0" t="n">
        <f aca="false">EXP(H142)</f>
        <v>2.39346854973528</v>
      </c>
      <c r="R142" s="9" t="n">
        <f aca="false">O142/SUM($O142:$Q142)</f>
        <v>0.0569070751700902</v>
      </c>
      <c r="S142" s="9" t="n">
        <f aca="false">P142/SUM($O142:$Q142)</f>
        <v>0.306529132467055</v>
      </c>
      <c r="T142" s="9" t="n">
        <f aca="false">Q142/SUM($O142:$Q142)</f>
        <v>0.636563792362855</v>
      </c>
      <c r="U142" s="9" t="n">
        <v>0.05690706</v>
      </c>
      <c r="V142" s="9" t="n">
        <v>0.3065291</v>
      </c>
      <c r="W142" s="9" t="n">
        <v>0.63656384</v>
      </c>
    </row>
    <row r="143" customFormat="false" ht="12.8" hidden="false" customHeight="false" outlineLevel="0" collapsed="false">
      <c r="A143" s="0" t="n">
        <v>139</v>
      </c>
      <c r="B143" s="0" t="n">
        <v>6.9</v>
      </c>
      <c r="C143" s="0" t="n">
        <v>3.1</v>
      </c>
      <c r="D143" s="0" t="n">
        <v>5.4</v>
      </c>
      <c r="E143" s="0" t="n">
        <v>2.1</v>
      </c>
      <c r="F143" s="6" t="n">
        <f aca="false">XGB_PREDICT(B143,C143,D143,E143,0)+0.5</f>
        <v>-1.5419213694</v>
      </c>
      <c r="G143" s="0" t="n">
        <f aca="false">XGB_PREDICT(B143,C143,D143,E143,1)+0.5</f>
        <v>-1.1763248142</v>
      </c>
      <c r="H143" s="7" t="n">
        <f aca="false">XGB_PREDICT(B143,C143,D143,E143,2)+0.5</f>
        <v>2.73294274257</v>
      </c>
      <c r="I143" s="0" t="n">
        <v>-1.5419214</v>
      </c>
      <c r="J143" s="0" t="n">
        <v>-1.1763248</v>
      </c>
      <c r="K143" s="0" t="n">
        <v>2.7329423</v>
      </c>
      <c r="L143" s="8" t="n">
        <f aca="false">ABS(F143-I143)&gt;0.000001</f>
        <v>0</v>
      </c>
      <c r="M143" s="8" t="n">
        <f aca="false">ABS(G143-J143)&gt;0.000001</f>
        <v>0</v>
      </c>
      <c r="N143" s="8" t="n">
        <f aca="false">ABS(H143-K143)&gt;0.000001</f>
        <v>0</v>
      </c>
      <c r="O143" s="0" t="n">
        <f aca="false">EXP(F143)</f>
        <v>0.213969591596552</v>
      </c>
      <c r="P143" s="0" t="n">
        <f aca="false">EXP(G143)</f>
        <v>0.308410122808</v>
      </c>
      <c r="Q143" s="0" t="n">
        <f aca="false">EXP(H143)</f>
        <v>15.3780742137921</v>
      </c>
      <c r="R143" s="9" t="n">
        <f aca="false">O143/SUM($O143:$Q143)</f>
        <v>0.0134568228405803</v>
      </c>
      <c r="S143" s="9" t="n">
        <f aca="false">P143/SUM($O143:$Q143)</f>
        <v>0.0193963093255525</v>
      </c>
      <c r="T143" s="9" t="n">
        <f aca="false">Q143/SUM($O143:$Q143)</f>
        <v>0.967146867833867</v>
      </c>
      <c r="U143" s="9" t="n">
        <v>0.013456827</v>
      </c>
      <c r="V143" s="9" t="n">
        <v>0.019396314</v>
      </c>
      <c r="W143" s="9" t="n">
        <v>0.9671468</v>
      </c>
    </row>
    <row r="144" customFormat="false" ht="12.8" hidden="false" customHeight="false" outlineLevel="0" collapsed="false">
      <c r="A144" s="0" t="n">
        <v>140</v>
      </c>
      <c r="B144" s="0" t="n">
        <v>6.7</v>
      </c>
      <c r="C144" s="0" t="n">
        <v>3.1</v>
      </c>
      <c r="D144" s="0" t="n">
        <v>5.6</v>
      </c>
      <c r="E144" s="0" t="n">
        <v>2.4</v>
      </c>
      <c r="F144" s="6" t="n">
        <f aca="false">XGB_PREDICT(B144,C144,D144,E144,0)+0.5</f>
        <v>-1.5419213694</v>
      </c>
      <c r="G144" s="0" t="n">
        <f aca="false">XGB_PREDICT(B144,C144,D144,E144,1)+0.5</f>
        <v>-1.1763248142</v>
      </c>
      <c r="H144" s="7" t="n">
        <f aca="false">XGB_PREDICT(B144,C144,D144,E144,2)+0.5</f>
        <v>2.73294274257</v>
      </c>
      <c r="I144" s="0" t="n">
        <v>-1.5419214</v>
      </c>
      <c r="J144" s="0" t="n">
        <v>-1.1763248</v>
      </c>
      <c r="K144" s="0" t="n">
        <v>2.7329423</v>
      </c>
      <c r="L144" s="8" t="n">
        <f aca="false">ABS(F144-I144)&gt;0.000001</f>
        <v>0</v>
      </c>
      <c r="M144" s="8" t="n">
        <f aca="false">ABS(G144-J144)&gt;0.000001</f>
        <v>0</v>
      </c>
      <c r="N144" s="8" t="n">
        <f aca="false">ABS(H144-K144)&gt;0.000001</f>
        <v>0</v>
      </c>
      <c r="O144" s="0" t="n">
        <f aca="false">EXP(F144)</f>
        <v>0.213969591596552</v>
      </c>
      <c r="P144" s="0" t="n">
        <f aca="false">EXP(G144)</f>
        <v>0.308410122808</v>
      </c>
      <c r="Q144" s="0" t="n">
        <f aca="false">EXP(H144)</f>
        <v>15.3780742137921</v>
      </c>
      <c r="R144" s="9" t="n">
        <f aca="false">O144/SUM($O144:$Q144)</f>
        <v>0.0134568228405803</v>
      </c>
      <c r="S144" s="9" t="n">
        <f aca="false">P144/SUM($O144:$Q144)</f>
        <v>0.0193963093255525</v>
      </c>
      <c r="T144" s="9" t="n">
        <f aca="false">Q144/SUM($O144:$Q144)</f>
        <v>0.967146867833867</v>
      </c>
      <c r="U144" s="9" t="n">
        <v>0.013456827</v>
      </c>
      <c r="V144" s="9" t="n">
        <v>0.019396314</v>
      </c>
      <c r="W144" s="9" t="n">
        <v>0.9671468</v>
      </c>
    </row>
    <row r="145" customFormat="false" ht="12.8" hidden="false" customHeight="false" outlineLevel="0" collapsed="false">
      <c r="A145" s="0" t="n">
        <v>141</v>
      </c>
      <c r="B145" s="0" t="n">
        <v>6.9</v>
      </c>
      <c r="C145" s="0" t="n">
        <v>3.1</v>
      </c>
      <c r="D145" s="0" t="n">
        <v>5.1</v>
      </c>
      <c r="E145" s="0" t="n">
        <v>2.3</v>
      </c>
      <c r="F145" s="6" t="n">
        <f aca="false">XGB_PREDICT(B145,C145,D145,E145,0)+0.5</f>
        <v>-1.5419213694</v>
      </c>
      <c r="G145" s="0" t="n">
        <f aca="false">XGB_PREDICT(B145,C145,D145,E145,1)+0.5</f>
        <v>-0.5610057327</v>
      </c>
      <c r="H145" s="7" t="n">
        <f aca="false">XGB_PREDICT(B145,C145,D145,E145,2)+0.5</f>
        <v>1.66079660077</v>
      </c>
      <c r="I145" s="0" t="n">
        <v>-1.5419214</v>
      </c>
      <c r="J145" s="0" t="n">
        <v>-0.5610057</v>
      </c>
      <c r="K145" s="0" t="n">
        <v>1.6607965</v>
      </c>
      <c r="L145" s="8" t="n">
        <f aca="false">ABS(F145-I145)&gt;0.000001</f>
        <v>0</v>
      </c>
      <c r="M145" s="8" t="n">
        <f aca="false">ABS(G145-J145)&gt;0.000001</f>
        <v>0</v>
      </c>
      <c r="N145" s="8" t="n">
        <f aca="false">ABS(H145-K145)&gt;0.000001</f>
        <v>0</v>
      </c>
      <c r="O145" s="0" t="n">
        <f aca="false">EXP(F145)</f>
        <v>0.213969591596552</v>
      </c>
      <c r="P145" s="0" t="n">
        <f aca="false">EXP(G145)</f>
        <v>0.57063486900643</v>
      </c>
      <c r="Q145" s="0" t="n">
        <f aca="false">EXP(H145)</f>
        <v>5.26350208466621</v>
      </c>
      <c r="R145" s="9" t="n">
        <f aca="false">O145/SUM($O145:$Q145)</f>
        <v>0.0353779467995514</v>
      </c>
      <c r="S145" s="9" t="n">
        <f aca="false">P145/SUM($O145:$Q145)</f>
        <v>0.0943493413575491</v>
      </c>
      <c r="T145" s="9" t="n">
        <f aca="false">Q145/SUM($O145:$Q145)</f>
        <v>0.870272711842899</v>
      </c>
      <c r="U145" s="9" t="n">
        <v>0.035377953</v>
      </c>
      <c r="V145" s="9" t="n">
        <v>0.09434935</v>
      </c>
      <c r="W145" s="9" t="n">
        <v>0.8702727</v>
      </c>
    </row>
    <row r="146" customFormat="false" ht="12.8" hidden="false" customHeight="false" outlineLevel="0" collapsed="false">
      <c r="A146" s="0" t="n">
        <v>142</v>
      </c>
      <c r="B146" s="0" t="n">
        <v>5.8</v>
      </c>
      <c r="C146" s="0" t="n">
        <v>2.7</v>
      </c>
      <c r="D146" s="0" t="n">
        <v>5.1</v>
      </c>
      <c r="E146" s="0" t="n">
        <v>1.9</v>
      </c>
      <c r="F146" s="6" t="n">
        <f aca="false">XGB_PREDICT(B146,C146,D146,E146,0)+0.5</f>
        <v>-1.5419213694</v>
      </c>
      <c r="G146" s="0" t="n">
        <f aca="false">XGB_PREDICT(B146,C146,D146,E146,1)+0.5</f>
        <v>-0.6284793115</v>
      </c>
      <c r="H146" s="7" t="n">
        <f aca="false">XGB_PREDICT(B146,C146,D146,E146,2)+0.5</f>
        <v>2.649849815</v>
      </c>
      <c r="I146" s="0" t="n">
        <v>-1.5419214</v>
      </c>
      <c r="J146" s="0" t="n">
        <v>-0.62847924</v>
      </c>
      <c r="K146" s="0" t="n">
        <v>2.6498497</v>
      </c>
      <c r="L146" s="8" t="n">
        <f aca="false">ABS(F146-I146)&gt;0.000001</f>
        <v>0</v>
      </c>
      <c r="M146" s="8" t="n">
        <f aca="false">ABS(G146-J146)&gt;0.000001</f>
        <v>0</v>
      </c>
      <c r="N146" s="8" t="n">
        <f aca="false">ABS(H146-K146)&gt;0.000001</f>
        <v>0</v>
      </c>
      <c r="O146" s="0" t="n">
        <f aca="false">EXP(F146)</f>
        <v>0.213969591596552</v>
      </c>
      <c r="P146" s="0" t="n">
        <f aca="false">EXP(G146)</f>
        <v>0.533402323353694</v>
      </c>
      <c r="Q146" s="0" t="n">
        <f aca="false">EXP(H146)</f>
        <v>14.1519130806998</v>
      </c>
      <c r="R146" s="9" t="n">
        <f aca="false">O146/SUM($O146:$Q146)</f>
        <v>0.014361064417455</v>
      </c>
      <c r="S146" s="9" t="n">
        <f aca="false">P146/SUM($O146:$Q146)</f>
        <v>0.0358005316033235</v>
      </c>
      <c r="T146" s="9" t="n">
        <f aca="false">Q146/SUM($O146:$Q146)</f>
        <v>0.949838403979221</v>
      </c>
      <c r="U146" s="9" t="n">
        <v>0.014361066</v>
      </c>
      <c r="V146" s="9" t="n">
        <v>0.03580054</v>
      </c>
      <c r="W146" s="9" t="n">
        <v>0.9498384</v>
      </c>
    </row>
    <row r="147" customFormat="false" ht="12.8" hidden="false" customHeight="false" outlineLevel="0" collapsed="false">
      <c r="A147" s="0" t="n">
        <v>143</v>
      </c>
      <c r="B147" s="0" t="n">
        <v>6.8</v>
      </c>
      <c r="C147" s="0" t="n">
        <v>3.2</v>
      </c>
      <c r="D147" s="0" t="n">
        <v>5.9</v>
      </c>
      <c r="E147" s="0" t="n">
        <v>2.3</v>
      </c>
      <c r="F147" s="6" t="n">
        <f aca="false">XGB_PREDICT(B147,C147,D147,E147,0)+0.5</f>
        <v>-1.5419213694</v>
      </c>
      <c r="G147" s="0" t="n">
        <f aca="false">XGB_PREDICT(B147,C147,D147,E147,1)+0.5</f>
        <v>-1.1763248142</v>
      </c>
      <c r="H147" s="7" t="n">
        <f aca="false">XGB_PREDICT(B147,C147,D147,E147,2)+0.5</f>
        <v>2.77805181429</v>
      </c>
      <c r="I147" s="0" t="n">
        <v>-1.5419214</v>
      </c>
      <c r="J147" s="0" t="n">
        <v>-1.1763248</v>
      </c>
      <c r="K147" s="0" t="n">
        <v>2.7780516</v>
      </c>
      <c r="L147" s="8" t="n">
        <f aca="false">ABS(F147-I147)&gt;0.000001</f>
        <v>0</v>
      </c>
      <c r="M147" s="8" t="n">
        <f aca="false">ABS(G147-J147)&gt;0.000001</f>
        <v>0</v>
      </c>
      <c r="N147" s="8" t="n">
        <f aca="false">ABS(H147-K147)&gt;0.000001</f>
        <v>0</v>
      </c>
      <c r="O147" s="0" t="n">
        <f aca="false">EXP(F147)</f>
        <v>0.213969591596552</v>
      </c>
      <c r="P147" s="0" t="n">
        <f aca="false">EXP(G147)</f>
        <v>0.308410122808</v>
      </c>
      <c r="Q147" s="0" t="n">
        <f aca="false">EXP(H147)</f>
        <v>16.0876486711907</v>
      </c>
      <c r="R147" s="9" t="n">
        <f aca="false">O147/SUM($O147:$Q147)</f>
        <v>0.0128819521935383</v>
      </c>
      <c r="S147" s="9" t="n">
        <f aca="false">P147/SUM($O147:$Q147)</f>
        <v>0.0185677059453711</v>
      </c>
      <c r="T147" s="9" t="n">
        <f aca="false">Q147/SUM($O147:$Q147)</f>
        <v>0.968550341861091</v>
      </c>
      <c r="U147" s="9" t="n">
        <v>0.012881955</v>
      </c>
      <c r="V147" s="9" t="n">
        <v>0.01856771</v>
      </c>
      <c r="W147" s="9" t="n">
        <v>0.9685504</v>
      </c>
    </row>
    <row r="148" customFormat="false" ht="12.8" hidden="false" customHeight="false" outlineLevel="0" collapsed="false">
      <c r="A148" s="0" t="n">
        <v>144</v>
      </c>
      <c r="B148" s="0" t="n">
        <v>6.7</v>
      </c>
      <c r="C148" s="0" t="n">
        <v>3.3</v>
      </c>
      <c r="D148" s="0" t="n">
        <v>5.7</v>
      </c>
      <c r="E148" s="0" t="n">
        <v>2.5</v>
      </c>
      <c r="F148" s="6" t="n">
        <f aca="false">XGB_PREDICT(B148,C148,D148,E148,0)+0.5</f>
        <v>-1.5419213694</v>
      </c>
      <c r="G148" s="0" t="n">
        <f aca="false">XGB_PREDICT(B148,C148,D148,E148,1)+0.5</f>
        <v>-1.1763248142</v>
      </c>
      <c r="H148" s="7" t="n">
        <f aca="false">XGB_PREDICT(B148,C148,D148,E148,2)+0.5</f>
        <v>2.77805181429</v>
      </c>
      <c r="I148" s="0" t="n">
        <v>-1.5419214</v>
      </c>
      <c r="J148" s="0" t="n">
        <v>-1.1763248</v>
      </c>
      <c r="K148" s="0" t="n">
        <v>2.7780516</v>
      </c>
      <c r="L148" s="8" t="n">
        <f aca="false">ABS(F148-I148)&gt;0.000001</f>
        <v>0</v>
      </c>
      <c r="M148" s="8" t="n">
        <f aca="false">ABS(G148-J148)&gt;0.000001</f>
        <v>0</v>
      </c>
      <c r="N148" s="8" t="n">
        <f aca="false">ABS(H148-K148)&gt;0.000001</f>
        <v>0</v>
      </c>
      <c r="O148" s="0" t="n">
        <f aca="false">EXP(F148)</f>
        <v>0.213969591596552</v>
      </c>
      <c r="P148" s="0" t="n">
        <f aca="false">EXP(G148)</f>
        <v>0.308410122808</v>
      </c>
      <c r="Q148" s="0" t="n">
        <f aca="false">EXP(H148)</f>
        <v>16.0876486711907</v>
      </c>
      <c r="R148" s="9" t="n">
        <f aca="false">O148/SUM($O148:$Q148)</f>
        <v>0.0128819521935383</v>
      </c>
      <c r="S148" s="9" t="n">
        <f aca="false">P148/SUM($O148:$Q148)</f>
        <v>0.0185677059453711</v>
      </c>
      <c r="T148" s="9" t="n">
        <f aca="false">Q148/SUM($O148:$Q148)</f>
        <v>0.968550341861091</v>
      </c>
      <c r="U148" s="9" t="n">
        <v>0.012881955</v>
      </c>
      <c r="V148" s="9" t="n">
        <v>0.01856771</v>
      </c>
      <c r="W148" s="9" t="n">
        <v>0.9685504</v>
      </c>
    </row>
    <row r="149" customFormat="false" ht="12.8" hidden="false" customHeight="false" outlineLevel="0" collapsed="false">
      <c r="A149" s="0" t="n">
        <v>145</v>
      </c>
      <c r="B149" s="0" t="n">
        <v>6.7</v>
      </c>
      <c r="C149" s="0" t="n">
        <v>3</v>
      </c>
      <c r="D149" s="0" t="n">
        <v>5.2</v>
      </c>
      <c r="E149" s="0" t="n">
        <v>2.3</v>
      </c>
      <c r="F149" s="6" t="n">
        <f aca="false">XGB_PREDICT(B149,C149,D149,E149,0)+0.5</f>
        <v>-1.5419213694</v>
      </c>
      <c r="G149" s="0" t="n">
        <f aca="false">XGB_PREDICT(B149,C149,D149,E149,1)+0.5</f>
        <v>-1.2801015448</v>
      </c>
      <c r="H149" s="7" t="n">
        <f aca="false">XGB_PREDICT(B149,C149,D149,E149,2)+0.5</f>
        <v>2.73294274257</v>
      </c>
      <c r="I149" s="0" t="n">
        <v>-1.5419214</v>
      </c>
      <c r="J149" s="0" t="n">
        <v>-1.2801015</v>
      </c>
      <c r="K149" s="0" t="n">
        <v>2.7329423</v>
      </c>
      <c r="L149" s="8" t="n">
        <f aca="false">ABS(F149-I149)&gt;0.000001</f>
        <v>0</v>
      </c>
      <c r="M149" s="8" t="n">
        <f aca="false">ABS(G149-J149)&gt;0.000001</f>
        <v>0</v>
      </c>
      <c r="N149" s="8" t="n">
        <f aca="false">ABS(H149-K149)&gt;0.000001</f>
        <v>0</v>
      </c>
      <c r="O149" s="0" t="n">
        <f aca="false">EXP(F149)</f>
        <v>0.213969591596552</v>
      </c>
      <c r="P149" s="0" t="n">
        <f aca="false">EXP(G149)</f>
        <v>0.278009068644548</v>
      </c>
      <c r="Q149" s="0" t="n">
        <f aca="false">EXP(H149)</f>
        <v>15.3780742137921</v>
      </c>
      <c r="R149" s="9" t="n">
        <f aca="false">O149/SUM($O149:$Q149)</f>
        <v>0.0134826010533747</v>
      </c>
      <c r="S149" s="9" t="n">
        <f aca="false">P149/SUM($O149:$Q149)</f>
        <v>0.0175178413614129</v>
      </c>
      <c r="T149" s="9" t="n">
        <f aca="false">Q149/SUM($O149:$Q149)</f>
        <v>0.968999557585213</v>
      </c>
      <c r="U149" s="9" t="n">
        <v>0.013482606</v>
      </c>
      <c r="V149" s="9" t="n">
        <v>0.017517848</v>
      </c>
      <c r="W149" s="9" t="n">
        <v>0.96899956</v>
      </c>
    </row>
    <row r="150" customFormat="false" ht="12.8" hidden="false" customHeight="false" outlineLevel="0" collapsed="false">
      <c r="A150" s="0" t="n">
        <v>146</v>
      </c>
      <c r="B150" s="0" t="n">
        <v>6.3</v>
      </c>
      <c r="C150" s="0" t="n">
        <v>2.5</v>
      </c>
      <c r="D150" s="0" t="n">
        <v>5</v>
      </c>
      <c r="E150" s="0" t="n">
        <v>1.9</v>
      </c>
      <c r="F150" s="6" t="n">
        <f aca="false">XGB_PREDICT(B150,C150,D150,E150,0)+0.5</f>
        <v>-1.5419213694</v>
      </c>
      <c r="G150" s="0" t="n">
        <f aca="false">XGB_PREDICT(B150,C150,D150,E150,1)+0.5</f>
        <v>-0.5136395046</v>
      </c>
      <c r="H150" s="7" t="n">
        <f aca="false">XGB_PREDICT(B150,C150,D150,E150,2)+0.5</f>
        <v>2.7493575406</v>
      </c>
      <c r="I150" s="0" t="n">
        <v>-1.5419214</v>
      </c>
      <c r="J150" s="0" t="n">
        <v>-0.51363957</v>
      </c>
      <c r="K150" s="0" t="n">
        <v>2.7493575</v>
      </c>
      <c r="L150" s="8" t="n">
        <f aca="false">ABS(F150-I150)&gt;0.000001</f>
        <v>0</v>
      </c>
      <c r="M150" s="8" t="n">
        <f aca="false">ABS(G150-J150)&gt;0.000001</f>
        <v>0</v>
      </c>
      <c r="N150" s="8" t="n">
        <f aca="false">ABS(H150-K150)&gt;0.000001</f>
        <v>0</v>
      </c>
      <c r="O150" s="0" t="n">
        <f aca="false">EXP(F150)</f>
        <v>0.213969591596552</v>
      </c>
      <c r="P150" s="0" t="n">
        <f aca="false">EXP(G150)</f>
        <v>0.598314044650755</v>
      </c>
      <c r="Q150" s="0" t="n">
        <f aca="false">EXP(H150)</f>
        <v>15.6325853558823</v>
      </c>
      <c r="R150" s="9" t="n">
        <f aca="false">O150/SUM($O150:$Q150)</f>
        <v>0.0130113284392206</v>
      </c>
      <c r="S150" s="9" t="n">
        <f aca="false">P150/SUM($O150:$Q150)</f>
        <v>0.03638302287097</v>
      </c>
      <c r="T150" s="9" t="n">
        <f aca="false">Q150/SUM($O150:$Q150)</f>
        <v>0.950605648689809</v>
      </c>
      <c r="U150" s="9" t="n">
        <v>0.01301133</v>
      </c>
      <c r="V150" s="9" t="n">
        <v>0.036383018</v>
      </c>
      <c r="W150" s="9" t="n">
        <v>0.95060563</v>
      </c>
    </row>
    <row r="151" customFormat="false" ht="12.8" hidden="false" customHeight="false" outlineLevel="0" collapsed="false">
      <c r="A151" s="0" t="n">
        <v>147</v>
      </c>
      <c r="B151" s="0" t="n">
        <v>6.5</v>
      </c>
      <c r="C151" s="0" t="n">
        <v>3</v>
      </c>
      <c r="D151" s="0" t="n">
        <v>5.2</v>
      </c>
      <c r="E151" s="0" t="n">
        <v>2</v>
      </c>
      <c r="F151" s="6" t="n">
        <f aca="false">XGB_PREDICT(B151,C151,D151,E151,0)+0.5</f>
        <v>-1.5419213694</v>
      </c>
      <c r="G151" s="0" t="n">
        <f aca="false">XGB_PREDICT(B151,C151,D151,E151,1)+0.5</f>
        <v>-1.2801015448</v>
      </c>
      <c r="H151" s="7" t="n">
        <f aca="false">XGB_PREDICT(B151,C151,D151,E151,2)+0.5</f>
        <v>2.9660256501</v>
      </c>
      <c r="I151" s="0" t="n">
        <v>-1.5419214</v>
      </c>
      <c r="J151" s="0" t="n">
        <v>-1.2801015</v>
      </c>
      <c r="K151" s="0" t="n">
        <v>2.966025</v>
      </c>
      <c r="L151" s="8" t="n">
        <f aca="false">ABS(F151-I151)&gt;0.000001</f>
        <v>0</v>
      </c>
      <c r="M151" s="8" t="n">
        <f aca="false">ABS(G151-J151)&gt;0.000001</f>
        <v>0</v>
      </c>
      <c r="N151" s="8" t="n">
        <f aca="false">ABS(H151-K151)&gt;0.000001</f>
        <v>0</v>
      </c>
      <c r="O151" s="0" t="n">
        <f aca="false">EXP(F151)</f>
        <v>0.213969591596552</v>
      </c>
      <c r="P151" s="0" t="n">
        <f aca="false">EXP(G151)</f>
        <v>0.278009068644548</v>
      </c>
      <c r="Q151" s="0" t="n">
        <f aca="false">EXP(H151)</f>
        <v>19.4146056254868</v>
      </c>
      <c r="R151" s="9" t="n">
        <f aca="false">O151/SUM($O151:$Q151)</f>
        <v>0.0107486843812757</v>
      </c>
      <c r="S151" s="9" t="n">
        <f aca="false">P151/SUM($O151:$Q151)</f>
        <v>0.013965684150237</v>
      </c>
      <c r="T151" s="9" t="n">
        <f aca="false">Q151/SUM($O151:$Q151)</f>
        <v>0.975285631468487</v>
      </c>
      <c r="U151" s="9" t="n">
        <v>0.01074869</v>
      </c>
      <c r="V151" s="9" t="n">
        <v>0.013965691</v>
      </c>
      <c r="W151" s="9" t="n">
        <v>0.9752856</v>
      </c>
    </row>
    <row r="152" customFormat="false" ht="12.8" hidden="false" customHeight="false" outlineLevel="0" collapsed="false">
      <c r="A152" s="0" t="n">
        <v>148</v>
      </c>
      <c r="B152" s="0" t="n">
        <v>6.2</v>
      </c>
      <c r="C152" s="0" t="n">
        <v>3.4</v>
      </c>
      <c r="D152" s="0" t="n">
        <v>5.4</v>
      </c>
      <c r="E152" s="0" t="n">
        <v>2.3</v>
      </c>
      <c r="F152" s="6" t="n">
        <f aca="false">XGB_PREDICT(B152,C152,D152,E152,0)+0.5</f>
        <v>-1.5419213694</v>
      </c>
      <c r="G152" s="0" t="n">
        <f aca="false">XGB_PREDICT(B152,C152,D152,E152,1)+0.5</f>
        <v>-1.1763248142</v>
      </c>
      <c r="H152" s="7" t="n">
        <f aca="false">XGB_PREDICT(B152,C152,D152,E152,2)+0.5</f>
        <v>2.67371357259</v>
      </c>
      <c r="I152" s="0" t="n">
        <v>-1.5419214</v>
      </c>
      <c r="J152" s="0" t="n">
        <v>-1.1763248</v>
      </c>
      <c r="K152" s="0" t="n">
        <v>2.6737134</v>
      </c>
      <c r="L152" s="8" t="n">
        <f aca="false">ABS(F152-I152)&gt;0.000001</f>
        <v>0</v>
      </c>
      <c r="M152" s="8" t="n">
        <f aca="false">ABS(G152-J152)&gt;0.000001</f>
        <v>0</v>
      </c>
      <c r="N152" s="8" t="n">
        <f aca="false">ABS(H152-K152)&gt;0.000001</f>
        <v>0</v>
      </c>
      <c r="O152" s="0" t="n">
        <f aca="false">EXP(F152)</f>
        <v>0.213969591596552</v>
      </c>
      <c r="P152" s="0" t="n">
        <f aca="false">EXP(G152)</f>
        <v>0.308410122808</v>
      </c>
      <c r="Q152" s="0" t="n">
        <f aca="false">EXP(H152)</f>
        <v>14.4936927580373</v>
      </c>
      <c r="R152" s="9" t="n">
        <f aca="false">O152/SUM($O152:$Q152)</f>
        <v>0.0142493712646392</v>
      </c>
      <c r="S152" s="9" t="n">
        <f aca="false">P152/SUM($O152:$Q152)</f>
        <v>0.0205386677091502</v>
      </c>
      <c r="T152" s="9" t="n">
        <f aca="false">Q152/SUM($O152:$Q152)</f>
        <v>0.965211961026211</v>
      </c>
      <c r="U152" s="9" t="n">
        <v>0.014249373</v>
      </c>
      <c r="V152" s="9" t="n">
        <v>0.02053867</v>
      </c>
      <c r="W152" s="9" t="n">
        <v>0.965212</v>
      </c>
    </row>
    <row r="153" customFormat="false" ht="12.8" hidden="false" customHeight="false" outlineLevel="0" collapsed="false">
      <c r="A153" s="0" t="n">
        <v>149</v>
      </c>
      <c r="B153" s="0" t="n">
        <v>5.9</v>
      </c>
      <c r="C153" s="0" t="n">
        <v>3</v>
      </c>
      <c r="D153" s="0" t="n">
        <v>5.1</v>
      </c>
      <c r="E153" s="0" t="n">
        <v>1.8</v>
      </c>
      <c r="F153" s="10" t="n">
        <f aca="false">XGB_PREDICT(B153,C153,D153,E153,0)+0.5</f>
        <v>-1.5419213694</v>
      </c>
      <c r="G153" s="11" t="n">
        <f aca="false">XGB_PREDICT(B153,C153,D153,E153,1)+0.5</f>
        <v>-0.5563022213</v>
      </c>
      <c r="H153" s="12" t="n">
        <f aca="false">XGB_PREDICT(B153,C153,D153,E153,2)+0.5</f>
        <v>1.8938795083</v>
      </c>
      <c r="I153" s="0" t="n">
        <v>-1.5419214</v>
      </c>
      <c r="J153" s="0" t="n">
        <v>-0.5563022</v>
      </c>
      <c r="K153" s="0" t="n">
        <v>1.8938794</v>
      </c>
      <c r="L153" s="8" t="n">
        <f aca="false">ABS(F153-I153)&gt;0.000001</f>
        <v>0</v>
      </c>
      <c r="M153" s="8" t="n">
        <f aca="false">ABS(G153-J153)&gt;0.000001</f>
        <v>0</v>
      </c>
      <c r="N153" s="8" t="n">
        <f aca="false">ABS(H153-K153)&gt;0.000001</f>
        <v>0</v>
      </c>
      <c r="O153" s="0" t="n">
        <f aca="false">EXP(F153)</f>
        <v>0.213969591596552</v>
      </c>
      <c r="P153" s="0" t="n">
        <f aca="false">EXP(G153)</f>
        <v>0.57332517860917</v>
      </c>
      <c r="Q153" s="0" t="n">
        <f aca="false">EXP(H153)</f>
        <v>6.64509845394504</v>
      </c>
      <c r="R153" s="9" t="n">
        <f aca="false">O153/SUM($O153:$Q153)</f>
        <v>0.0287887878296429</v>
      </c>
      <c r="S153" s="9" t="n">
        <f aca="false">P153/SUM($O153:$Q153)</f>
        <v>0.0771387036878258</v>
      </c>
      <c r="T153" s="9" t="n">
        <f aca="false">Q153/SUM($O153:$Q153)</f>
        <v>0.894072508482531</v>
      </c>
      <c r="U153" s="9" t="n">
        <v>0.028788788</v>
      </c>
      <c r="V153" s="9" t="n">
        <v>0.077138714</v>
      </c>
      <c r="W153" s="9" t="n">
        <v>0.8940725</v>
      </c>
    </row>
  </sheetData>
  <autoFilter ref="A3:N153"/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1.55078125" defaultRowHeight="12.8" zeroHeight="false" outlineLevelRow="0" outlineLevelCol="0"/>
  <sheetData/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149</TotalTime>
  <Application>LibreOffice/6.4.3.2$Linux_X86_64 LibreOffice_project/40$Build-2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2020-05-23T13:54:35Z</dcterms:created>
  <dc:creator/>
  <dc:description/>
  <dc:language>en-GB</dc:language>
  <cp:lastModifiedBy/>
  <dcterms:modified xsi:type="dcterms:W3CDTF">2020-05-23T17:05:16Z</dcterms:modified>
  <cp:revision>14</cp:revision>
  <dc:subject/>
  <dc:title/>
</cp:coreProperties>
</file>